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hSuites\Desktop\"/>
    </mc:Choice>
  </mc:AlternateContent>
  <xr:revisionPtr revIDLastSave="0" documentId="13_ncr:1_{D4B09DB9-F479-422E-8999-0E546D45ECAC}" xr6:coauthVersionLast="47" xr6:coauthVersionMax="47" xr10:uidLastSave="{00000000-0000-0000-0000-000000000000}"/>
  <bookViews>
    <workbookView xWindow="-120" yWindow="-120" windowWidth="20730" windowHeight="11040" tabRatio="502" firstSheet="4" activeTab="6" xr2:uid="{34443455-999C-42C7-8F83-BC351BDA8615}"/>
  </bookViews>
  <sheets>
    <sheet name="info general " sheetId="4" r:id="rId1"/>
    <sheet name="patio 1" sheetId="1" r:id="rId2"/>
    <sheet name="patio 2" sheetId="2" r:id="rId3"/>
    <sheet name="Tipos de Hab" sheetId="3" r:id="rId4"/>
    <sheet name="estados" sheetId="5" r:id="rId5"/>
    <sheet name="Supuestos" sheetId="7" r:id="rId6"/>
    <sheet name="PyG Hospedaje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8" l="1"/>
  <c r="F34" i="8"/>
  <c r="D34" i="8"/>
  <c r="E33" i="8"/>
  <c r="C52" i="8"/>
  <c r="G17" i="8"/>
  <c r="G16" i="8"/>
  <c r="E17" i="8"/>
  <c r="E16" i="8"/>
  <c r="F16" i="8" s="1"/>
  <c r="H16" i="8"/>
  <c r="G10" i="8"/>
  <c r="G14" i="8" s="1"/>
  <c r="F9" i="8"/>
  <c r="H33" i="8" l="1"/>
  <c r="H27" i="8"/>
  <c r="H9" i="8"/>
  <c r="H8" i="8"/>
  <c r="F33" i="8"/>
  <c r="F27" i="8"/>
  <c r="F8" i="8"/>
  <c r="D38" i="8"/>
  <c r="D40" i="8"/>
  <c r="D41" i="8"/>
  <c r="D33" i="8"/>
  <c r="D26" i="8"/>
  <c r="D27" i="8"/>
  <c r="D16" i="8"/>
  <c r="D8" i="8"/>
  <c r="H14" i="8"/>
  <c r="E10" i="8"/>
  <c r="E41" i="8"/>
  <c r="G41" i="8" s="1"/>
  <c r="H41" i="8" s="1"/>
  <c r="E40" i="8"/>
  <c r="G40" i="8" s="1"/>
  <c r="H40" i="8" s="1"/>
  <c r="E38" i="8"/>
  <c r="G38" i="8" s="1"/>
  <c r="H38" i="8" s="1"/>
  <c r="H17" i="8"/>
  <c r="F17" i="8"/>
  <c r="D17" i="8"/>
  <c r="E26" i="8"/>
  <c r="G26" i="8" s="1"/>
  <c r="H26" i="8" s="1"/>
  <c r="C10" i="8"/>
  <c r="G52" i="8"/>
  <c r="H52" i="8" s="1"/>
  <c r="B48" i="7"/>
  <c r="C48" i="7" s="1"/>
  <c r="B47" i="7"/>
  <c r="C47" i="7" s="1"/>
  <c r="B46" i="7"/>
  <c r="C46" i="7" s="1"/>
  <c r="B45" i="7"/>
  <c r="C45" i="7" s="1"/>
  <c r="B44" i="7"/>
  <c r="C44" i="7" s="1"/>
  <c r="B43" i="7"/>
  <c r="B42" i="7"/>
  <c r="B41" i="7"/>
  <c r="B40" i="7"/>
  <c r="C40" i="7" s="1"/>
  <c r="B39" i="7"/>
  <c r="C39" i="7" s="1"/>
  <c r="B38" i="7"/>
  <c r="C38" i="7" s="1"/>
  <c r="B37" i="7"/>
  <c r="B36" i="7"/>
  <c r="B44" i="5"/>
  <c r="B38" i="5"/>
  <c r="B36" i="5"/>
  <c r="B22" i="5"/>
  <c r="B20" i="5"/>
  <c r="B9" i="5"/>
  <c r="E52" i="8"/>
  <c r="F52" i="8" s="1"/>
  <c r="G24" i="8"/>
  <c r="H24" i="8" s="1"/>
  <c r="E24" i="8"/>
  <c r="F24" i="8" s="1"/>
  <c r="G4" i="8"/>
  <c r="E4" i="8"/>
  <c r="D52" i="8"/>
  <c r="C25" i="8"/>
  <c r="E25" i="8" s="1"/>
  <c r="G25" i="8" s="1"/>
  <c r="H25" i="8" s="1"/>
  <c r="C24" i="8"/>
  <c r="D24" i="8" s="1"/>
  <c r="E23" i="8"/>
  <c r="G23" i="8" s="1"/>
  <c r="H23" i="8" s="1"/>
  <c r="C4" i="8"/>
  <c r="C43" i="7"/>
  <c r="C42" i="7"/>
  <c r="C41" i="7"/>
  <c r="C37" i="7"/>
  <c r="B27" i="7"/>
  <c r="B23" i="7"/>
  <c r="B17" i="7"/>
  <c r="B7" i="7"/>
  <c r="B13" i="7" s="1"/>
  <c r="C14" i="8" l="1"/>
  <c r="D14" i="8" s="1"/>
  <c r="F40" i="8"/>
  <c r="F41" i="8"/>
  <c r="F38" i="8"/>
  <c r="F23" i="8"/>
  <c r="F25" i="8"/>
  <c r="F26" i="8"/>
  <c r="E20" i="8"/>
  <c r="F20" i="8" s="1"/>
  <c r="E14" i="8"/>
  <c r="H10" i="8"/>
  <c r="F10" i="8"/>
  <c r="D10" i="8"/>
  <c r="D25" i="8"/>
  <c r="D23" i="8"/>
  <c r="C13" i="7"/>
  <c r="D13" i="7"/>
  <c r="C12" i="8"/>
  <c r="G12" i="8"/>
  <c r="G19" i="8"/>
  <c r="H19" i="8" s="1"/>
  <c r="G21" i="8"/>
  <c r="H21" i="8" s="1"/>
  <c r="G37" i="8"/>
  <c r="H37" i="8" s="1"/>
  <c r="G36" i="8"/>
  <c r="H36" i="8" s="1"/>
  <c r="G35" i="8"/>
  <c r="H35" i="8" s="1"/>
  <c r="G20" i="8"/>
  <c r="H20" i="8" s="1"/>
  <c r="G53" i="8" l="1"/>
  <c r="G49" i="8"/>
  <c r="C49" i="8"/>
  <c r="C53" i="8"/>
  <c r="D53" i="8" s="1"/>
  <c r="D54" i="8" s="1"/>
  <c r="E12" i="8"/>
  <c r="F14" i="8"/>
  <c r="H53" i="8"/>
  <c r="H54" i="8" s="1"/>
  <c r="H12" i="8"/>
  <c r="D12" i="8"/>
  <c r="G39" i="8"/>
  <c r="H39" i="8" s="1"/>
  <c r="E36" i="8"/>
  <c r="F36" i="8" s="1"/>
  <c r="E19" i="8"/>
  <c r="F19" i="8" s="1"/>
  <c r="E39" i="8"/>
  <c r="F39" i="8" s="1"/>
  <c r="E37" i="8"/>
  <c r="F37" i="8" s="1"/>
  <c r="E35" i="8"/>
  <c r="F35" i="8" s="1"/>
  <c r="E21" i="8"/>
  <c r="F21" i="8" s="1"/>
  <c r="E49" i="8" l="1"/>
  <c r="E53" i="8"/>
  <c r="F53" i="8" s="1"/>
  <c r="F54" i="8" s="1"/>
  <c r="F12" i="8"/>
  <c r="E54" i="8"/>
  <c r="G54" i="8"/>
  <c r="C20" i="8"/>
  <c r="D20" i="8" s="1"/>
  <c r="C35" i="8"/>
  <c r="D35" i="8" s="1"/>
  <c r="D21" i="8" l="1"/>
  <c r="C19" i="8"/>
  <c r="C36" i="8"/>
  <c r="D36" i="8" s="1"/>
  <c r="C39" i="8"/>
  <c r="D39" i="8" s="1"/>
  <c r="C37" i="8"/>
  <c r="D37" i="8" s="1"/>
  <c r="C28" i="8" l="1"/>
  <c r="D28" i="8" s="1"/>
  <c r="D30" i="8" s="1"/>
  <c r="D19" i="8"/>
  <c r="D49" i="8"/>
  <c r="E22" i="8"/>
  <c r="F22" i="8" s="1"/>
  <c r="D22" i="8"/>
  <c r="E42" i="8"/>
  <c r="D42" i="8"/>
  <c r="D43" i="8" s="1"/>
  <c r="C54" i="8"/>
  <c r="C43" i="8"/>
  <c r="G42" i="8" l="1"/>
  <c r="F42" i="8"/>
  <c r="F43" i="8" s="1"/>
  <c r="H49" i="8"/>
  <c r="F49" i="8"/>
  <c r="C30" i="8"/>
  <c r="C45" i="8" s="1"/>
  <c r="C58" i="8" s="1"/>
  <c r="G22" i="8"/>
  <c r="H22" i="8" s="1"/>
  <c r="E28" i="8"/>
  <c r="D45" i="8"/>
  <c r="C46" i="8" l="1"/>
  <c r="E30" i="8"/>
  <c r="F28" i="8"/>
  <c r="F30" i="8" s="1"/>
  <c r="F45" i="8" s="1"/>
  <c r="G28" i="8"/>
  <c r="G43" i="8"/>
  <c r="H42" i="8"/>
  <c r="H43" i="8" s="1"/>
  <c r="D58" i="8"/>
  <c r="D59" i="8" s="1"/>
  <c r="D46" i="8"/>
  <c r="C59" i="8"/>
  <c r="G30" i="8" l="1"/>
  <c r="G45" i="8" s="1"/>
  <c r="H28" i="8"/>
  <c r="H30" i="8" s="1"/>
  <c r="H45" i="8" s="1"/>
  <c r="F58" i="8"/>
  <c r="F59" i="8" s="1"/>
  <c r="F46" i="8"/>
  <c r="E43" i="8"/>
  <c r="E45" i="8" s="1"/>
  <c r="H46" i="8" l="1"/>
  <c r="H58" i="8"/>
  <c r="H59" i="8" s="1"/>
  <c r="G58" i="8"/>
  <c r="G59" i="8" s="1"/>
  <c r="G46" i="8"/>
  <c r="E46" i="8"/>
  <c r="E58" i="8"/>
  <c r="E5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GehSuites</author>
  </authors>
  <commentList>
    <comment ref="B5" authorId="0" shapeId="0" xr:uid="{CEC5DF9F-4360-4A44-A820-6A2713421A53}">
      <text>
        <r>
          <rPr>
            <b/>
            <sz val="9"/>
            <color indexed="81"/>
            <rFont val="Tahoma"/>
            <family val="2"/>
          </rPr>
          <t>GehSuites:</t>
        </r>
        <r>
          <rPr>
            <sz val="9"/>
            <color indexed="81"/>
            <rFont val="Tahoma"/>
            <family val="2"/>
          </rPr>
          <t xml:space="preserve">
Source: PATIO CORAO ESTADOS DE RESULTADOS.pdf, Estado de Resultados a 31 dic 2025, cuenta 41400405</t>
        </r>
      </text>
    </comment>
    <comment ref="B6" authorId="0" shapeId="0" xr:uid="{57817289-A0EC-49D3-8B05-20BAACF23BEC}">
      <text>
        <r>
          <rPr>
            <b/>
            <sz val="9"/>
            <color indexed="81"/>
            <rFont val="Tahoma"/>
            <family val="2"/>
          </rPr>
          <t>GehSuites:</t>
        </r>
        <r>
          <rPr>
            <sz val="9"/>
            <color indexed="81"/>
            <rFont val="Tahoma"/>
            <family val="2"/>
          </rPr>
          <t xml:space="preserve">
Source: PATIO CORAO ESTADOS DE RESULTADOS.pdf, cuenta 41400505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GehSuites</author>
  </authors>
  <commentList>
    <comment ref="C24" authorId="0" shapeId="0" xr:uid="{A4ADFB9D-2161-4063-9A65-00F14EF1F593}">
      <text>
        <r>
          <rPr>
            <b/>
            <sz val="9"/>
            <color indexed="81"/>
            <rFont val="Tahoma"/>
            <family val="2"/>
          </rPr>
          <t>GehSuites:</t>
        </r>
        <r>
          <rPr>
            <sz val="9"/>
            <color indexed="81"/>
            <rFont val="Tahoma"/>
            <family val="2"/>
          </rPr>
          <t xml:space="preserve">
renegociar el arriendo </t>
        </r>
      </text>
    </comment>
  </commentList>
</comments>
</file>

<file path=xl/sharedStrings.xml><?xml version="1.0" encoding="utf-8"?>
<sst xmlns="http://schemas.openxmlformats.org/spreadsheetml/2006/main" count="1359" uniqueCount="774">
  <si>
    <t>Patio Corao Cartagena</t>
  </si>
  <si>
    <t>Fechas: 2026/02/01 - 2026/07/03</t>
  </si>
  <si>
    <t>Moneda : COP</t>
  </si>
  <si>
    <t>CANAL DE VENTA</t>
  </si>
  <si>
    <t>Totales</t>
  </si>
  <si>
    <t>Noches</t>
  </si>
  <si>
    <t>Tarifa Promedio</t>
  </si>
  <si>
    <t>$ 405,445.22</t>
  </si>
  <si>
    <t>$ 402,359.72</t>
  </si>
  <si>
    <t>$ 415,250.40</t>
  </si>
  <si>
    <t>$ 411,028.46</t>
  </si>
  <si>
    <t>$ 425,103.14</t>
  </si>
  <si>
    <t>$ 439,392.42</t>
  </si>
  <si>
    <t>$ 413,343.79</t>
  </si>
  <si>
    <t>$ 479,296.60</t>
  </si>
  <si>
    <t>$ 449,953.74</t>
  </si>
  <si>
    <t>$ 427,667.93</t>
  </si>
  <si>
    <t>$ 388,434.44</t>
  </si>
  <si>
    <t>$ 428,238.19</t>
  </si>
  <si>
    <t>$ 413,248.38</t>
  </si>
  <si>
    <t>$ 425,924.19</t>
  </si>
  <si>
    <t>$ 489,744.19</t>
  </si>
  <si>
    <t>$ 469,944.29</t>
  </si>
  <si>
    <t>$ 409,270.45</t>
  </si>
  <si>
    <t>$ 394,042.01</t>
  </si>
  <si>
    <t>$ 419,652.17</t>
  </si>
  <si>
    <t>$ 426,079.18</t>
  </si>
  <si>
    <t>$ 458,021.49</t>
  </si>
  <si>
    <t>$ 432,691.59</t>
  </si>
  <si>
    <t>$ 441,035.56</t>
  </si>
  <si>
    <t>$ 370,624.30</t>
  </si>
  <si>
    <t>$ 391,927.84</t>
  </si>
  <si>
    <t>$ 461,670.66</t>
  </si>
  <si>
    <t>$ 443,669.89</t>
  </si>
  <si>
    <t>$ 445,332.82</t>
  </si>
  <si>
    <t>$ 463,698.58</t>
  </si>
  <si>
    <t>$ 526,070.46</t>
  </si>
  <si>
    <t>$ 443,955.00</t>
  </si>
  <si>
    <t>$ 411,902.81</t>
  </si>
  <si>
    <t>$ 388,743.80</t>
  </si>
  <si>
    <t>$ 399,506.66</t>
  </si>
  <si>
    <t>$ 442,507.25</t>
  </si>
  <si>
    <t>$ 494,139.71</t>
  </si>
  <si>
    <t>$ 462,059.49</t>
  </si>
  <si>
    <t>$ 476,957.93</t>
  </si>
  <si>
    <t>$ 476,895.63</t>
  </si>
  <si>
    <t>$ 466,960.28</t>
  </si>
  <si>
    <t>$ 498,571.72</t>
  </si>
  <si>
    <t>$ 510,287.39</t>
  </si>
  <si>
    <t>$ 499,189.39</t>
  </si>
  <si>
    <t>$ 452,797.94</t>
  </si>
  <si>
    <t>$ 453,737.04</t>
  </si>
  <si>
    <t>$ 491,706.96</t>
  </si>
  <si>
    <t>$ 466,717.68</t>
  </si>
  <si>
    <t>$ 471,362.02</t>
  </si>
  <si>
    <t>$ 484,452.42</t>
  </si>
  <si>
    <t>$ 406,980.00</t>
  </si>
  <si>
    <t>$ 425,837.13</t>
  </si>
  <si>
    <t>$ 417,692.13</t>
  </si>
  <si>
    <t>$ 488,954.89</t>
  </si>
  <si>
    <t>$ 497,808.97</t>
  </si>
  <si>
    <t>$ 525,785.22</t>
  </si>
  <si>
    <t>$ 465,707.77</t>
  </si>
  <si>
    <t>$ 637,249.94</t>
  </si>
  <si>
    <t>$ 637,248.94</t>
  </si>
  <si>
    <t>$ 593,360.46</t>
  </si>
  <si>
    <t>$ 603,211.59</t>
  </si>
  <si>
    <t>$ 604,809.09</t>
  </si>
  <si>
    <t>$ 602,558.09</t>
  </si>
  <si>
    <t>$ 724,677.63</t>
  </si>
  <si>
    <t>$ 658,425.11</t>
  </si>
  <si>
    <t>$ 412,693.56</t>
  </si>
  <si>
    <t>$ 398,853.56</t>
  </si>
  <si>
    <t>$ 416,201.83</t>
  </si>
  <si>
    <t>$ 468,210.31</t>
  </si>
  <si>
    <t>$ 475,332.03</t>
  </si>
  <si>
    <t>$ 323,203.67</t>
  </si>
  <si>
    <t>$ 336,840.67</t>
  </si>
  <si>
    <t>$ 380,561.17</t>
  </si>
  <si>
    <t>$ 368,431.72</t>
  </si>
  <si>
    <t>$ 325,169.28</t>
  </si>
  <si>
    <t>$ 496,458.32</t>
  </si>
  <si>
    <t>$ 458,191.18</t>
  </si>
  <si>
    <t>$ 470,585.46</t>
  </si>
  <si>
    <t>$ 473,281.07</t>
  </si>
  <si>
    <t>$ 505,505.89</t>
  </si>
  <si>
    <t>$ 354,467.00</t>
  </si>
  <si>
    <t>$ 207,407.27</t>
  </si>
  <si>
    <t>$ 213,847.87</t>
  </si>
  <si>
    <t>$ 264,668.50</t>
  </si>
  <si>
    <t>$ 393,088.56</t>
  </si>
  <si>
    <t>$ 373,350.67</t>
  </si>
  <si>
    <t>$ 415,404.28</t>
  </si>
  <si>
    <t>$ 388,633.57</t>
  </si>
  <si>
    <t>$ 409,251.38</t>
  </si>
  <si>
    <t>$ 471,325.59</t>
  </si>
  <si>
    <t>$ 477,701.93</t>
  </si>
  <si>
    <t>$ 400,071.99</t>
  </si>
  <si>
    <t>$ 400,598.37</t>
  </si>
  <si>
    <t>$ 424,861.11</t>
  </si>
  <si>
    <t>$ 524,254.50</t>
  </si>
  <si>
    <t>$ 335,928.33</t>
  </si>
  <si>
    <t>$ 374,840.76</t>
  </si>
  <si>
    <t>$ 365,039.38</t>
  </si>
  <si>
    <t>$ 386,396.65</t>
  </si>
  <si>
    <t>$ 318,174.84</t>
  </si>
  <si>
    <t>$ 426,243.73</t>
  </si>
  <si>
    <t>$ 395,606.82</t>
  </si>
  <si>
    <t>$ 400,577.59</t>
  </si>
  <si>
    <t>$ 393,452.62</t>
  </si>
  <si>
    <t>$ 392,826.67</t>
  </si>
  <si>
    <t>$ 390,981.47</t>
  </si>
  <si>
    <t>$ 416,761.83</t>
  </si>
  <si>
    <t>$ 139,727.70</t>
  </si>
  <si>
    <t>$ 420,255.20</t>
  </si>
  <si>
    <t>$ 600,315.62</t>
  </si>
  <si>
    <t>$ 441,469.06</t>
  </si>
  <si>
    <t>$ 417,561.79</t>
  </si>
  <si>
    <t>$ 540,860.78</t>
  </si>
  <si>
    <t>$ 454,934.87</t>
  </si>
  <si>
    <t>$ 371,321.54</t>
  </si>
  <si>
    <t>$ 372,801.44</t>
  </si>
  <si>
    <t>$ 365,435.47</t>
  </si>
  <si>
    <t>$ 369,685.33</t>
  </si>
  <si>
    <t>$ 395,783.80</t>
  </si>
  <si>
    <t>$ 420,324.00</t>
  </si>
  <si>
    <t>$ 352,323.50</t>
  </si>
  <si>
    <t>$ 376,121.33</t>
  </si>
  <si>
    <t>$ 358,600.67</t>
  </si>
  <si>
    <t>$ 344,106.50</t>
  </si>
  <si>
    <t>$ 377,852.59</t>
  </si>
  <si>
    <t>$ 414,134.13</t>
  </si>
  <si>
    <t>$ 446,098.40</t>
  </si>
  <si>
    <t>$ 445,960.00</t>
  </si>
  <si>
    <t>$ 396,591.34</t>
  </si>
  <si>
    <t>$ 396,527.07</t>
  </si>
  <si>
    <t>$ 431,985.47</t>
  </si>
  <si>
    <t>$ 597,497.00</t>
  </si>
  <si>
    <t>$ -</t>
  </si>
  <si>
    <t>$ 624,500.00</t>
  </si>
  <si>
    <t>$ 600,617.00</t>
  </si>
  <si>
    <t>$ 428,622.00</t>
  </si>
  <si>
    <t>$ 384,933.00</t>
  </si>
  <si>
    <t>$ 205,275.00</t>
  </si>
  <si>
    <t>$ 517,687.60</t>
  </si>
  <si>
    <t>$ 464,118.80</t>
  </si>
  <si>
    <t>$ 484,699.40</t>
  </si>
  <si>
    <t>$ 475,756.80</t>
  </si>
  <si>
    <t>$ 735,866.00</t>
  </si>
  <si>
    <t>$ 383,346.93</t>
  </si>
  <si>
    <t>$ 525,535.14</t>
  </si>
  <si>
    <t>$ 441,963.31</t>
  </si>
  <si>
    <t>Ingreso</t>
  </si>
  <si>
    <t>$ 2,027,226.08</t>
  </si>
  <si>
    <t>$ 2,414,158.33</t>
  </si>
  <si>
    <t>$ 2,076,252.00</t>
  </si>
  <si>
    <t>$ 2,466,170.75</t>
  </si>
  <si>
    <t>$ 2,975,721.95</t>
  </si>
  <si>
    <t>$ 3,075,746.95</t>
  </si>
  <si>
    <t>$ 2,066,718.95</t>
  </si>
  <si>
    <t>$ 3,355,076.20</t>
  </si>
  <si>
    <t>$ 3,149,676.20</t>
  </si>
  <si>
    <t>$ 3,421,343.40</t>
  </si>
  <si>
    <t>$ 3,107,475.50</t>
  </si>
  <si>
    <t>$ 3,425,905.50</t>
  </si>
  <si>
    <t>$ 3,305,987.00</t>
  </si>
  <si>
    <t>$ 3,407,393.50</t>
  </si>
  <si>
    <t>$ 3,917,953.50</t>
  </si>
  <si>
    <t>$ 3,759,554.34</t>
  </si>
  <si>
    <t>$ 3,274,163.62</t>
  </si>
  <si>
    <t>$ 2,758,294.07</t>
  </si>
  <si>
    <t>$ 2,937,565.20</t>
  </si>
  <si>
    <t>$ 3,408,633.43</t>
  </si>
  <si>
    <t>$ 3,664,171.89</t>
  </si>
  <si>
    <t>$ 2,596,149.53</t>
  </si>
  <si>
    <t>$ 2,646,213.33</t>
  </si>
  <si>
    <t>$ 1,853,121.50</t>
  </si>
  <si>
    <t>$ 2,351,567.02</t>
  </si>
  <si>
    <t>$ 3,693,365.25</t>
  </si>
  <si>
    <t>$ 3,105,689.25</t>
  </si>
  <si>
    <t>$ 3,562,662.59</t>
  </si>
  <si>
    <t>$ 3,245,890.08</t>
  </si>
  <si>
    <t>$ 2,104,281.83</t>
  </si>
  <si>
    <t>$ 1,775,820.00</t>
  </si>
  <si>
    <t>$ 1,647,611.25</t>
  </si>
  <si>
    <t>$ 2,332,462.79</t>
  </si>
  <si>
    <t>$ 1,997,533.28</t>
  </si>
  <si>
    <t>$ 3,097,550.78</t>
  </si>
  <si>
    <t>$ 3,458,977.95</t>
  </si>
  <si>
    <t>$ 2,772,356.95</t>
  </si>
  <si>
    <t>$ 3,338,705.51</t>
  </si>
  <si>
    <t>$ 3,815,165.04</t>
  </si>
  <si>
    <t>$ 3,268,721.95</t>
  </si>
  <si>
    <t>$ 3,988,573.79</t>
  </si>
  <si>
    <t>$ 4,082,299.13</t>
  </si>
  <si>
    <t>$ 3,494,325.76</t>
  </si>
  <si>
    <t>$ 2,716,787.62</t>
  </si>
  <si>
    <t>$ 2,722,422.26</t>
  </si>
  <si>
    <t>$ 2,950,241.77</t>
  </si>
  <si>
    <t>$ 3,267,023.77</t>
  </si>
  <si>
    <t>$ 2,828,172.10</t>
  </si>
  <si>
    <t>$ 2,422,262.10</t>
  </si>
  <si>
    <t>$ 1,703,348.50</t>
  </si>
  <si>
    <t>$ 1,670,768.50</t>
  </si>
  <si>
    <t>$ 3,422,684.25</t>
  </si>
  <si>
    <t>$ 3,982,471.75</t>
  </si>
  <si>
    <t>$ 3,680,496.54</t>
  </si>
  <si>
    <t>$ 2,794,246.59</t>
  </si>
  <si>
    <t>$ 4,460,749.58</t>
  </si>
  <si>
    <t>$ 4,460,742.58</t>
  </si>
  <si>
    <t>$ 3,560,162.75</t>
  </si>
  <si>
    <t>$ 4,825,692.75</t>
  </si>
  <si>
    <t>$ 4,838,472.75</t>
  </si>
  <si>
    <t>$ 4,820,464.75</t>
  </si>
  <si>
    <t>$ 4,348,065.75</t>
  </si>
  <si>
    <t>$ 3,292,125.57</t>
  </si>
  <si>
    <t>$ 2,063,467.81</t>
  </si>
  <si>
    <t>$ 1,994,267.81</t>
  </si>
  <si>
    <t>$ 2,081,009.17</t>
  </si>
  <si>
    <t>$ 3,277,472.17</t>
  </si>
  <si>
    <t>$ 2,851,992.18</t>
  </si>
  <si>
    <t>$ 1,292,814.67</t>
  </si>
  <si>
    <t>$ 1,347,362.69</t>
  </si>
  <si>
    <t>$ 1,522,244.69</t>
  </si>
  <si>
    <t>$ 1,105,295.17</t>
  </si>
  <si>
    <t>$ 1,625,846.41</t>
  </si>
  <si>
    <t>$ 2,482,291.58</t>
  </si>
  <si>
    <t>$ 3,665,529.42</t>
  </si>
  <si>
    <t>$ 2,352,927.32</t>
  </si>
  <si>
    <t>$ 2,366,405.34</t>
  </si>
  <si>
    <t>$ 3,033,035.34</t>
  </si>
  <si>
    <t>$ 1,037,036.34</t>
  </si>
  <si>
    <t>$ 1,069,239.33</t>
  </si>
  <si>
    <t>$ 1,588,010.99</t>
  </si>
  <si>
    <t>$ 1,179,265.67</t>
  </si>
  <si>
    <t>$ 1,246,212.84</t>
  </si>
  <si>
    <t>$ 1,943,167.83</t>
  </si>
  <si>
    <t>$ 2,864,759.69</t>
  </si>
  <si>
    <t>$ 1,885,302.35</t>
  </si>
  <si>
    <t>$ 2,388,509.64</t>
  </si>
  <si>
    <t>$ 2,800,503.95</t>
  </si>
  <si>
    <t>$ 2,804,188.62</t>
  </si>
  <si>
    <t>$ 2,124,305.55</t>
  </si>
  <si>
    <t>$ 1,048,509.00</t>
  </si>
  <si>
    <t>$ 671,856.66</t>
  </si>
  <si>
    <t>$ 1,124,522.27</t>
  </si>
  <si>
    <t>$ 2,190,236.27</t>
  </si>
  <si>
    <t>$ 1,545,586.60</t>
  </si>
  <si>
    <t>$ 1,590,874.20</t>
  </si>
  <si>
    <t>$ 1,278,731.20</t>
  </si>
  <si>
    <t>$ 1,978,034.10</t>
  </si>
  <si>
    <t>$ 2,804,043.10</t>
  </si>
  <si>
    <t>$ 1,967,263.10</t>
  </si>
  <si>
    <t>$ 1,964,133.35</t>
  </si>
  <si>
    <t>$ 2,736,870.31</t>
  </si>
  <si>
    <t>$ 2,500,570.99</t>
  </si>
  <si>
    <t>$ 838,366.19</t>
  </si>
  <si>
    <t>$ 2,521,531.19</t>
  </si>
  <si>
    <t>$ 1,800,946.86</t>
  </si>
  <si>
    <t>$ 2,207,345.28</t>
  </si>
  <si>
    <t>$ 2,505,370.75</t>
  </si>
  <si>
    <t>$ 1,622,582.33</t>
  </si>
  <si>
    <t>$ 2,274,674.33</t>
  </si>
  <si>
    <t>$ 1,856,607.72</t>
  </si>
  <si>
    <t>$ 1,864,007.22</t>
  </si>
  <si>
    <t>$ 1,827,177.33</t>
  </si>
  <si>
    <t>$ 2,218,112.00</t>
  </si>
  <si>
    <t>$ 1,978,919.00</t>
  </si>
  <si>
    <t>$ 1,260,972.00</t>
  </si>
  <si>
    <t>$ 704,647.00</t>
  </si>
  <si>
    <t>$ 1,128,364.00</t>
  </si>
  <si>
    <t>$ 1,075,802.00</t>
  </si>
  <si>
    <t>$ 1,376,426.00</t>
  </si>
  <si>
    <t>$ 1,889,262.97</t>
  </si>
  <si>
    <t>$ 3,313,073.00</t>
  </si>
  <si>
    <t>$ 2,230,492.00</t>
  </si>
  <si>
    <t>$ 891,920.00</t>
  </si>
  <si>
    <t>$ 1,586,365.34</t>
  </si>
  <si>
    <t>$ 1,982,635.33</t>
  </si>
  <si>
    <t>$ 2,159,927.33</t>
  </si>
  <si>
    <t>$ 1,194,994.00</t>
  </si>
  <si>
    <t>$ 1,201,234.00</t>
  </si>
  <si>
    <t>$ 857,244.00</t>
  </si>
  <si>
    <t>$ 410,550.00</t>
  </si>
  <si>
    <t>$ 928,237.60</t>
  </si>
  <si>
    <t>$ 1,938,797.60</t>
  </si>
  <si>
    <t>$ 951,513.60</t>
  </si>
  <si>
    <t>$ 1,533,387.73</t>
  </si>
  <si>
    <t>$ 2,627,675.71</t>
  </si>
  <si>
    <t>$ 341,637,641.15</t>
  </si>
  <si>
    <t>% Ocupación neta</t>
  </si>
  <si>
    <t>%62.5</t>
  </si>
  <si>
    <t>%75.0</t>
  </si>
  <si>
    <t>%87.5</t>
  </si>
  <si>
    <t>%100.0</t>
  </si>
  <si>
    <t>%50.0</t>
  </si>
  <si>
    <t>%12.5</t>
  </si>
  <si>
    <t>%37.5</t>
  </si>
  <si>
    <t>%25.0</t>
  </si>
  <si>
    <t>%0.0</t>
  </si>
  <si>
    <t>%61.6</t>
  </si>
  <si>
    <t>% Ocupación bruta</t>
  </si>
  <si>
    <t>%63.2</t>
  </si>
  <si>
    <t>Fechas: 2026/02 - 2026/02</t>
  </si>
  <si>
    <t>Febrero</t>
  </si>
  <si>
    <t>Marzo</t>
  </si>
  <si>
    <t>Abril</t>
  </si>
  <si>
    <t>Mayo</t>
  </si>
  <si>
    <t>Junio</t>
  </si>
  <si>
    <t>Julio</t>
  </si>
  <si>
    <t>Agosto</t>
  </si>
  <si>
    <t>$ 429,763.88</t>
  </si>
  <si>
    <t>$ 482,180.08</t>
  </si>
  <si>
    <t>$ 457,158.81</t>
  </si>
  <si>
    <t>$ 398,547.37</t>
  </si>
  <si>
    <t>$ 424,261.70</t>
  </si>
  <si>
    <t>$ 578,234.17</t>
  </si>
  <si>
    <t>$ 540,702.72</t>
  </si>
  <si>
    <t>$ 472,605.53</t>
  </si>
  <si>
    <t>$ 83,803,956.84</t>
  </si>
  <si>
    <t>$ 89,685,494.00</t>
  </si>
  <si>
    <t>$ 70,402,456.45</t>
  </si>
  <si>
    <t>$ 60,180,653.46</t>
  </si>
  <si>
    <t>$ 32,668,150.97</t>
  </si>
  <si>
    <t>$ 71,701,037.29</t>
  </si>
  <si>
    <t>$ 85,431,029.06</t>
  </si>
  <si>
    <t>$ 493,872,778.07</t>
  </si>
  <si>
    <t>%87.1</t>
  </si>
  <si>
    <t>%60.8</t>
  </si>
  <si>
    <t>%58.9</t>
  </si>
  <si>
    <t>%30.4</t>
  </si>
  <si>
    <t>%48.8</t>
  </si>
  <si>
    <t>%63.7</t>
  </si>
  <si>
    <t>%60.7</t>
  </si>
  <si>
    <t>%64.2</t>
  </si>
  <si>
    <t>%60.9</t>
  </si>
  <si>
    <t>%32.1</t>
  </si>
  <si>
    <t>%61.8</t>
  </si>
  <si>
    <t>Moneda : COP - Sin impuestos</t>
  </si>
  <si>
    <t>Feb-2026 - Aug-2026</t>
  </si>
  <si>
    <t>Producción de canal por pais</t>
  </si>
  <si>
    <t>Pais</t>
  </si>
  <si>
    <t>Oc. Net %</t>
  </si>
  <si>
    <t>ADR</t>
  </si>
  <si>
    <t>Estancia Promedio</t>
  </si>
  <si>
    <t>Ventana Reserva Promedio</t>
  </si>
  <si>
    <t>BOOKING</t>
  </si>
  <si>
    <t>TOTAL</t>
  </si>
  <si>
    <t>100.00%</t>
  </si>
  <si>
    <t>485549.24</t>
  </si>
  <si>
    <t>2.57</t>
  </si>
  <si>
    <t>40.49</t>
  </si>
  <si>
    <t>Colombia</t>
  </si>
  <si>
    <t>7.70%</t>
  </si>
  <si>
    <t>453749.43</t>
  </si>
  <si>
    <t>1.83</t>
  </si>
  <si>
    <t>30.37</t>
  </si>
  <si>
    <t>Bélgica</t>
  </si>
  <si>
    <t>2.40%</t>
  </si>
  <si>
    <t>572170.93</t>
  </si>
  <si>
    <t>2.5</t>
  </si>
  <si>
    <t>32.75</t>
  </si>
  <si>
    <t>Francia</t>
  </si>
  <si>
    <t>10.35%</t>
  </si>
  <si>
    <t>498866.77</t>
  </si>
  <si>
    <t>28.49</t>
  </si>
  <si>
    <t>Perú</t>
  </si>
  <si>
    <t>2.27%</t>
  </si>
  <si>
    <t>434308.28</t>
  </si>
  <si>
    <t>5.14</t>
  </si>
  <si>
    <t>Estados Unidos</t>
  </si>
  <si>
    <t>8.84%</t>
  </si>
  <si>
    <t>611939.97</t>
  </si>
  <si>
    <t>2.69</t>
  </si>
  <si>
    <t>24.27</t>
  </si>
  <si>
    <t>España</t>
  </si>
  <si>
    <t>13.51%</t>
  </si>
  <si>
    <t>448241.79</t>
  </si>
  <si>
    <t>2.06</t>
  </si>
  <si>
    <t>30.5</t>
  </si>
  <si>
    <t>Desconocido</t>
  </si>
  <si>
    <t>9.22%</t>
  </si>
  <si>
    <t>558290.47</t>
  </si>
  <si>
    <t>2.41</t>
  </si>
  <si>
    <t>115.97</t>
  </si>
  <si>
    <t>Brasil</t>
  </si>
  <si>
    <t>8.33%</t>
  </si>
  <si>
    <t>433217.41</t>
  </si>
  <si>
    <t>2.75</t>
  </si>
  <si>
    <t>29.04</t>
  </si>
  <si>
    <t>Chile</t>
  </si>
  <si>
    <t>1.77%</t>
  </si>
  <si>
    <t>464816.21</t>
  </si>
  <si>
    <t>2.8</t>
  </si>
  <si>
    <t>7.8</t>
  </si>
  <si>
    <t>Grecia</t>
  </si>
  <si>
    <t>1.01%</t>
  </si>
  <si>
    <t>434836.25</t>
  </si>
  <si>
    <t>2.67</t>
  </si>
  <si>
    <t>Costa Rica</t>
  </si>
  <si>
    <t>0.25%</t>
  </si>
  <si>
    <t>Irlanda</t>
  </si>
  <si>
    <t>0.76%</t>
  </si>
  <si>
    <t>349393.5</t>
  </si>
  <si>
    <t>1.5</t>
  </si>
  <si>
    <t>51.75</t>
  </si>
  <si>
    <t>Suiza</t>
  </si>
  <si>
    <t>2.71</t>
  </si>
  <si>
    <t>2.14</t>
  </si>
  <si>
    <t>Polonia</t>
  </si>
  <si>
    <t>1.14%</t>
  </si>
  <si>
    <t>495447.78</t>
  </si>
  <si>
    <t>1.8</t>
  </si>
  <si>
    <t>Guayana Francesa</t>
  </si>
  <si>
    <t>0.38%</t>
  </si>
  <si>
    <t>303515.33</t>
  </si>
  <si>
    <t>Argentina</t>
  </si>
  <si>
    <t>3.79%</t>
  </si>
  <si>
    <t>456279.18</t>
  </si>
  <si>
    <t>3.75</t>
  </si>
  <si>
    <t>49.13</t>
  </si>
  <si>
    <t>Canadá</t>
  </si>
  <si>
    <t>503545.64</t>
  </si>
  <si>
    <t>2.33</t>
  </si>
  <si>
    <t>16.5</t>
  </si>
  <si>
    <t>Alemania</t>
  </si>
  <si>
    <t>461000.47</t>
  </si>
  <si>
    <t>2.31</t>
  </si>
  <si>
    <t>33.92</t>
  </si>
  <si>
    <t>Reino Unido</t>
  </si>
  <si>
    <t>4.80%</t>
  </si>
  <si>
    <t>446423.45</t>
  </si>
  <si>
    <t>25.11</t>
  </si>
  <si>
    <t>Mónaco</t>
  </si>
  <si>
    <t>0.13%</t>
  </si>
  <si>
    <t>Italia</t>
  </si>
  <si>
    <t>2.65%</t>
  </si>
  <si>
    <t>534057.05</t>
  </si>
  <si>
    <t>1.91</t>
  </si>
  <si>
    <t>69.55</t>
  </si>
  <si>
    <t>Países Bajos</t>
  </si>
  <si>
    <t>3.54%</t>
  </si>
  <si>
    <t>487069.54</t>
  </si>
  <si>
    <t>79.5</t>
  </si>
  <si>
    <t>Australia</t>
  </si>
  <si>
    <t>415391.39</t>
  </si>
  <si>
    <t>39.43</t>
  </si>
  <si>
    <t>Emiratos Arabes Unidos</t>
  </si>
  <si>
    <t>481029.33</t>
  </si>
  <si>
    <t>Finlandia</t>
  </si>
  <si>
    <t>0.51%</t>
  </si>
  <si>
    <t>Croacia</t>
  </si>
  <si>
    <t>México</t>
  </si>
  <si>
    <t>460185.68</t>
  </si>
  <si>
    <t>2.38</t>
  </si>
  <si>
    <t>35.38</t>
  </si>
  <si>
    <t>Aruba</t>
  </si>
  <si>
    <t>542281.5</t>
  </si>
  <si>
    <t>Austria</t>
  </si>
  <si>
    <t>283072.5</t>
  </si>
  <si>
    <t>Japón</t>
  </si>
  <si>
    <t>Luxemburgo</t>
  </si>
  <si>
    <t>Liechtenstein</t>
  </si>
  <si>
    <t>695523.67</t>
  </si>
  <si>
    <t>Afganistán</t>
  </si>
  <si>
    <t>Portugal</t>
  </si>
  <si>
    <t>649577.5</t>
  </si>
  <si>
    <t>TELEFONO</t>
  </si>
  <si>
    <t>436611.81</t>
  </si>
  <si>
    <t>1.99</t>
  </si>
  <si>
    <t>5.86</t>
  </si>
  <si>
    <t>Guatemala</t>
  </si>
  <si>
    <t>1.39%</t>
  </si>
  <si>
    <t>4.17%</t>
  </si>
  <si>
    <t>16.67%</t>
  </si>
  <si>
    <t>486587.58</t>
  </si>
  <si>
    <t>1.2</t>
  </si>
  <si>
    <t>9.1</t>
  </si>
  <si>
    <t>6.94%</t>
  </si>
  <si>
    <t>20.83%</t>
  </si>
  <si>
    <t>395077.33</t>
  </si>
  <si>
    <t>18.6</t>
  </si>
  <si>
    <t>22.22%</t>
  </si>
  <si>
    <t>464750.39</t>
  </si>
  <si>
    <t>1.45</t>
  </si>
  <si>
    <t>12.09</t>
  </si>
  <si>
    <t>15.28%</t>
  </si>
  <si>
    <t>379901.54</t>
  </si>
  <si>
    <t>2.2</t>
  </si>
  <si>
    <t>13.2</t>
  </si>
  <si>
    <t>Venezuela</t>
  </si>
  <si>
    <t>2.78%</t>
  </si>
  <si>
    <t>539962.5</t>
  </si>
  <si>
    <t>EXPEDIA</t>
  </si>
  <si>
    <t>417345.67</t>
  </si>
  <si>
    <t>15.19</t>
  </si>
  <si>
    <t>1.87%</t>
  </si>
  <si>
    <t>2.80%</t>
  </si>
  <si>
    <t>6.54%</t>
  </si>
  <si>
    <t>379454.43</t>
  </si>
  <si>
    <t>3.5</t>
  </si>
  <si>
    <t>10.28%</t>
  </si>
  <si>
    <t>385585.73</t>
  </si>
  <si>
    <t>9.35%</t>
  </si>
  <si>
    <t>411457.4</t>
  </si>
  <si>
    <t>3.33</t>
  </si>
  <si>
    <t>18.33</t>
  </si>
  <si>
    <t>31.78%</t>
  </si>
  <si>
    <t>469118.66</t>
  </si>
  <si>
    <t>2.13</t>
  </si>
  <si>
    <t>5.5</t>
  </si>
  <si>
    <t>Honduras</t>
  </si>
  <si>
    <t>23.5</t>
  </si>
  <si>
    <t>12.15%</t>
  </si>
  <si>
    <t>542961.06</t>
  </si>
  <si>
    <t>3.25</t>
  </si>
  <si>
    <t>21.75</t>
  </si>
  <si>
    <t>412156.4</t>
  </si>
  <si>
    <t>8.67</t>
  </si>
  <si>
    <t>653641.72</t>
  </si>
  <si>
    <t>2.17</t>
  </si>
  <si>
    <t>71.33</t>
  </si>
  <si>
    <t>WEB</t>
  </si>
  <si>
    <t>388702.95</t>
  </si>
  <si>
    <t>24.5</t>
  </si>
  <si>
    <t>70.00%</t>
  </si>
  <si>
    <t>405628.57</t>
  </si>
  <si>
    <t>30.00%</t>
  </si>
  <si>
    <t>371777.33</t>
  </si>
  <si>
    <t>AIRBNB</t>
  </si>
  <si>
    <t>425489.27</t>
  </si>
  <si>
    <t>6.4</t>
  </si>
  <si>
    <t>20.00%</t>
  </si>
  <si>
    <t>396778.5</t>
  </si>
  <si>
    <t>10.00%</t>
  </si>
  <si>
    <t>397906.85</t>
  </si>
  <si>
    <t>CORREO</t>
  </si>
  <si>
    <t>561698.16</t>
  </si>
  <si>
    <t>74.98</t>
  </si>
  <si>
    <t>498046.67</t>
  </si>
  <si>
    <t>5.00%</t>
  </si>
  <si>
    <t>45.00%</t>
  </si>
  <si>
    <t>364111.11</t>
  </si>
  <si>
    <t>181.89</t>
  </si>
  <si>
    <t>HOTELBEDS</t>
  </si>
  <si>
    <t>355224.11</t>
  </si>
  <si>
    <t>25.00%</t>
  </si>
  <si>
    <t>75.00%</t>
  </si>
  <si>
    <t>331502.22</t>
  </si>
  <si>
    <t>Cortesía</t>
  </si>
  <si>
    <t>1.9</t>
  </si>
  <si>
    <t>25.9</t>
  </si>
  <si>
    <t>12.50%</t>
  </si>
  <si>
    <t>87.50%</t>
  </si>
  <si>
    <t>28.8</t>
  </si>
  <si>
    <t>Uso casa</t>
  </si>
  <si>
    <t>1.17</t>
  </si>
  <si>
    <t>50.00%</t>
  </si>
  <si>
    <t>PROMOCIONES</t>
  </si>
  <si>
    <t>459949.15</t>
  </si>
  <si>
    <t>2.25</t>
  </si>
  <si>
    <t>32.5</t>
  </si>
  <si>
    <t>517687.6</t>
  </si>
  <si>
    <t>Impreso: 03/07/2026 13:07:40</t>
  </si>
  <si>
    <t>*Sin inclusiones</t>
  </si>
  <si>
    <t>Auditoría: 01/02/2026 To 03/07/2026</t>
  </si>
  <si>
    <t>Producción por canal</t>
  </si>
  <si>
    <t>*Por vendidos</t>
  </si>
  <si>
    <t>Canal</t>
  </si>
  <si>
    <t>Llegadas</t>
  </si>
  <si>
    <t>Salidas</t>
  </si>
  <si>
    <t>Stayovers</t>
  </si>
  <si>
    <t>En casa</t>
  </si>
  <si>
    <t>Vendidas</t>
  </si>
  <si>
    <t>%</t>
  </si>
  <si>
    <t>Subtotal</t>
  </si>
  <si>
    <t>Total</t>
  </si>
  <si>
    <t>$254,948,245.96</t>
  </si>
  <si>
    <t>$257,048,499.30</t>
  </si>
  <si>
    <t>$42,483,673.64</t>
  </si>
  <si>
    <t>$28,943,934.21</t>
  </si>
  <si>
    <t>$30,276,972.00</t>
  </si>
  <si>
    <t>$0.00</t>
  </si>
  <si>
    <t>$4,297,164.69</t>
  </si>
  <si>
    <t>$3,954,732.00</t>
  </si>
  <si>
    <t>$4,209,332.00</t>
  </si>
  <si>
    <t>$2,588,438.00</t>
  </si>
  <si>
    <t>$2,241,000.00</t>
  </si>
  <si>
    <t>$1,373,452.66</t>
  </si>
  <si>
    <t>$807,000.00</t>
  </si>
  <si>
    <t>Totales:</t>
  </si>
  <si>
    <t>$341,637,641.16</t>
  </si>
  <si>
    <t>$345,325,532.29</t>
  </si>
  <si>
    <t>Feb-2026 - Sep-2026</t>
  </si>
  <si>
    <t>Lead Time</t>
  </si>
  <si>
    <t>T. Habitación</t>
  </si>
  <si>
    <t>Reservaciones</t>
  </si>
  <si>
    <t>Entre 1 y 3 Noches</t>
  </si>
  <si>
    <t>Entre 4 y 7 Noches</t>
  </si>
  <si>
    <t>Entre 7 y 15 Noches</t>
  </si>
  <si>
    <t>Mayor a 15 Noches</t>
  </si>
  <si>
    <t>BDC</t>
  </si>
  <si>
    <t>KING D TINA+JACUZZI</t>
  </si>
  <si>
    <t>DBL Y KING+TINA+BALCON</t>
  </si>
  <si>
    <t>2DBLES+TINA+BALCON CON VISTA</t>
  </si>
  <si>
    <t>2DBLES+TINA+BALCON SIN VISTA</t>
  </si>
  <si>
    <t>KIND D BALCON+TINA</t>
  </si>
  <si>
    <t>KING D BALCON</t>
  </si>
  <si>
    <t>DOBLE ESTANDAR</t>
  </si>
  <si>
    <t>DEFAULT</t>
  </si>
  <si>
    <t>EXP</t>
  </si>
  <si>
    <t>ABB</t>
  </si>
  <si>
    <t>HBD</t>
  </si>
  <si>
    <t>OWN</t>
  </si>
  <si>
    <t xml:space="preserve">PATIO CORAO  HOTEL </t>
  </si>
  <si>
    <t xml:space="preserve">No de Habitaciones </t>
  </si>
  <si>
    <t xml:space="preserve">Un local como para un café en el primero piso </t>
  </si>
  <si>
    <t>se paga por el arriendo 46 millones mas IVA</t>
  </si>
  <si>
    <t>Tiene un Roftof en el ultimo piso pero se le debe meter plata para adecuarlo</t>
  </si>
  <si>
    <t xml:space="preserve">actualmente compran un desayuno en 45 mil a un operador o proveedor </t>
  </si>
  <si>
    <t>Afinia  promedio pagan 9.150.000</t>
  </si>
  <si>
    <t>agua  1.400.000</t>
  </si>
  <si>
    <t>Gas 300.000</t>
  </si>
  <si>
    <t xml:space="preserve">Intenert y Cable  600.000 promedio </t>
  </si>
  <si>
    <t xml:space="preserve">la nomina tienen 7 personas incluidas el gerente general que puede estar alrededor de 24 millones mensual </t>
  </si>
  <si>
    <t xml:space="preserve">su mayor proveedor es bookin en una de las pestañas se ve aproximado cuanto vende cada canal , me sacas cuanto se paga x bookin </t>
  </si>
  <si>
    <t xml:space="preserve">quiero que me hagas una macro en excel en el que se muestre los 3 escenarios pesimistas , conservador y pesimista </t>
  </si>
  <si>
    <t xml:space="preserve">quiero que en esos 3 escenarios me coloques  45 pesimistas , 65 conservador y 75 optomistas  y sus tarifas que sean 480 mil , 560 mil y 750 mil </t>
  </si>
  <si>
    <t xml:space="preserve">nosotros como geh suites vamos a comercializar el hotel y vamos a cobrar un feet de 4 millones mensuales mas un 10% sobre el total de las ventas , dejame la opcion que el porcentaje sea modificable </t>
  </si>
  <si>
    <t xml:space="preserve">tambien quiero que agreges con lso estados financieros que estan en el pdf  y me hagas un PYG para saber que tan rengtable es el negocio </t>
  </si>
  <si>
    <t xml:space="preserve">UN SPA en el sotano para alquilar </t>
  </si>
  <si>
    <t xml:space="preserve">el negocio con hotel debe tener unos numeros muy buenos para poder superar el punto de equilibrio , tambien en otra pestaña me haces el mismo pyg pero con las otros ingresos como roftof, spa y el local para café </t>
  </si>
  <si>
    <t xml:space="preserve">incluye tambien todos los gastos que aparecen en la pestaña estados </t>
  </si>
  <si>
    <t>PATIO CORAO HOTEL - SUPUESTOS DEL MODELO</t>
  </si>
  <si>
    <t>Todas las celdas azules son editables. Cifras en COP.</t>
  </si>
  <si>
    <t>1. DATOS DEL HOTEL</t>
  </si>
  <si>
    <t>No. de Habitaciones</t>
  </si>
  <si>
    <t>Días por mes (estándar)</t>
  </si>
  <si>
    <t>Room-noches disponibles / mes</t>
  </si>
  <si>
    <t>2. ESCENARIOS DE OCUPACIÓN Y TARIFA</t>
  </si>
  <si>
    <t>Escenario</t>
  </si>
  <si>
    <t>Pesimista</t>
  </si>
  <si>
    <t>Conservador</t>
  </si>
  <si>
    <t>Optimista</t>
  </si>
  <si>
    <t>% Ocupación</t>
  </si>
  <si>
    <t>Tarifa Promedio (ADR)</t>
  </si>
  <si>
    <t>Room-noches ocupadas / mes</t>
  </si>
  <si>
    <t>3. COSTOS FIJOS MENSUALES</t>
  </si>
  <si>
    <t>Arrendamiento (neto, sin IVA)</t>
  </si>
  <si>
    <t>Fuente: info general A8. IVA 19% es descontable y no se registra como gasto en el P&amp;G</t>
  </si>
  <si>
    <t>IVA arriendo (referencial, solo caja)</t>
  </si>
  <si>
    <t>Energía Eléctrica (Afinia)</t>
  </si>
  <si>
    <t>Agua y Alcantarillado</t>
  </si>
  <si>
    <t>Gas</t>
  </si>
  <si>
    <t>Internet y Cable</t>
  </si>
  <si>
    <t>TOTAL COSTOS FIJOS MENSUALES</t>
  </si>
  <si>
    <t>4. COSTOS VARIABLES POR VENTA</t>
  </si>
  <si>
    <t>Costo Desayuno por hab-noche ocupada</t>
  </si>
  <si>
    <t>% Participación Booking sobre ventas</t>
  </si>
  <si>
    <t>Fuente: patio 2, producción por canal (Booking $257.0MM / Total $345.3MM)</t>
  </si>
  <si>
    <t>% Comisión Booking.com</t>
  </si>
  <si>
    <t>Tarifa estándar Booking Latam — ajustable según contrato real</t>
  </si>
  <si>
    <t>5. COMERCIALIZACIÓN GEH SUITES</t>
  </si>
  <si>
    <t>Fee fijo mensual</t>
  </si>
  <si>
    <t>% Variable sobre ventas totales</t>
  </si>
  <si>
    <t>Editable: porcentaje modificable según negociación</t>
  </si>
  <si>
    <t>6. RATIOS DE GASTOS (Estado de Resultados 2025, Grupo Hotelero Mextizo S.A.S. — PDF)</t>
  </si>
  <si>
    <t>Rubro</t>
  </si>
  <si>
    <t>Histórico 2025 ($)</t>
  </si>
  <si>
    <t>% sobre Ingresos</t>
  </si>
  <si>
    <t>Nota</t>
  </si>
  <si>
    <t>Ingresos Operacionales Totales 2025 (base)</t>
  </si>
  <si>
    <t>Costo Minibar</t>
  </si>
  <si>
    <t>Lavandería</t>
  </si>
  <si>
    <t>Aseo y Cafetería</t>
  </si>
  <si>
    <t>Honorarios</t>
  </si>
  <si>
    <t>Impuestos (ICA, etc.)</t>
  </si>
  <si>
    <t>Seguros</t>
  </si>
  <si>
    <t>Servicios Administrativos</t>
  </si>
  <si>
    <t>Gastos Legales</t>
  </si>
  <si>
    <t>Mantenimiento y Reparaciones</t>
  </si>
  <si>
    <t>Adecuación e Instalación (*posible no recurrente)</t>
  </si>
  <si>
    <t>Diversos</t>
  </si>
  <si>
    <t>Gastos Financieros</t>
  </si>
  <si>
    <t>Nota: Nómina histórica ($174.8MM en el periodo) no se replica aquí; se usa la nómina actual de la Sección 3 para evitar duplicar el costo.</t>
  </si>
  <si>
    <t>7. OTROS INGRESOS POTENCIALES (para hoja PyG Total)</t>
  </si>
  <si>
    <t>Ingreso Rooftop (mensual)</t>
  </si>
  <si>
    <t>Pendiente: requiere inversión de adecuación (info general A4). Ingresa tarifa/renta estimada cuando la tengas.</t>
  </si>
  <si>
    <t>Ingreso Local Café (mensual, arriendo)</t>
  </si>
  <si>
    <t>Pendiente: definir canon de arrendamiento del local (info general A5)</t>
  </si>
  <si>
    <t>Ingreso SPA (mensual, arriendo)</t>
  </si>
  <si>
    <t>Pendiente: definir canon de arrendamiento del SPA (info general A6)</t>
  </si>
  <si>
    <t>PATIO CORAO HOTEL - P&amp;G HOSPEDAJE (Mensual)</t>
  </si>
  <si>
    <t>Solo ingresos por habitaciones — 3 escenarios. Cifras en COP.</t>
  </si>
  <si>
    <t>Room-noches Ocupadas</t>
  </si>
  <si>
    <t>INGRESOS</t>
  </si>
  <si>
    <t>COSTOS DIRECTOS</t>
  </si>
  <si>
    <t>Energía Eléctrica</t>
  </si>
  <si>
    <t>Arrendamiento</t>
  </si>
  <si>
    <t>TOTAL COSTOS DIRECTOS</t>
  </si>
  <si>
    <t>UTILIDAD BRUTA</t>
  </si>
  <si>
    <t>GASTOS OPERACIONALES</t>
  </si>
  <si>
    <t>Adecuación e Instalación</t>
  </si>
  <si>
    <t>TOTAL GASTOS OPERACIONALES</t>
  </si>
  <si>
    <t>EBITDA (UTILIDAD OPERACIONAL)</t>
  </si>
  <si>
    <t>Margen EBITDA %</t>
  </si>
  <si>
    <t>GASTOS NO OPERACIONALES</t>
  </si>
  <si>
    <t>COMERCIALIZACIÓN GEH SUITES</t>
  </si>
  <si>
    <t>TOTAL FEE GEH SUITES</t>
  </si>
  <si>
    <t>UTILIDAD / PÉRDIDA NETA</t>
  </si>
  <si>
    <t>Margen Neto %</t>
  </si>
  <si>
    <t>GRUPO HOTELERO MEXTIZO S.A.S. — ESTADO DE RESULTADOS (a 31 diciembre 2025)</t>
  </si>
  <si>
    <t>Fuente: PDF cargado por el usuario — PATIO CORAO ESTADOS DE RESULTADOS.pdf</t>
  </si>
  <si>
    <t>INGRESOS OPERACIONALES</t>
  </si>
  <si>
    <t>Hospedaje Nacional</t>
  </si>
  <si>
    <t>Hospedaje Extranjero</t>
  </si>
  <si>
    <t>Ventas Minibar</t>
  </si>
  <si>
    <t>Alquileres para Eventos</t>
  </si>
  <si>
    <t>TOTAL INGRESOS OPERACIONALES</t>
  </si>
  <si>
    <t>COSTO DE VENTA Y SERVICIO</t>
  </si>
  <si>
    <t>Comisión Canales de Venta</t>
  </si>
  <si>
    <t>Servicio Agua y Alcantarillado</t>
  </si>
  <si>
    <t>Servicio de Gas</t>
  </si>
  <si>
    <t>Elementos de Aseo y Cafetería</t>
  </si>
  <si>
    <t>TOTAL COSTO DE VENTA Y SERVICIO</t>
  </si>
  <si>
    <t>RESULTADO BRUTO</t>
  </si>
  <si>
    <t>Gastos de Personal (5105)</t>
  </si>
  <si>
    <t>Impuestos</t>
  </si>
  <si>
    <t>Servicios (5135)</t>
  </si>
  <si>
    <t>Gastos de Personal (5205)</t>
  </si>
  <si>
    <t>Servicios (5235)</t>
  </si>
  <si>
    <t>RESULTADO OPERACIONAL</t>
  </si>
  <si>
    <t>INGRESOS Y GASTOS NO OPERACIONALES</t>
  </si>
  <si>
    <t>Diversos (ingreso)</t>
  </si>
  <si>
    <t>Financieros (gasto)</t>
  </si>
  <si>
    <t>RESULTADO ANTES DE IMPUESTOS</t>
  </si>
  <si>
    <t>Ingresos por Venta de Hospedaje</t>
  </si>
  <si>
    <t>Gasto por Comisión Booking.com (18%)</t>
  </si>
  <si>
    <t>Costo de Desayuno</t>
  </si>
  <si>
    <t>Costo de Lavandería</t>
  </si>
  <si>
    <t>Costo de Aseo y Cafetería</t>
  </si>
  <si>
    <t>Gasto de Energía Eléctrica</t>
  </si>
  <si>
    <t>Gasto de Arrendamiento</t>
  </si>
  <si>
    <t>Gasto de Agua y Alcantarillado</t>
  </si>
  <si>
    <t>Gasto de Gas</t>
  </si>
  <si>
    <t>Gasto de Internet y Cable</t>
  </si>
  <si>
    <t>Gasto de Nómina (7 personas)</t>
  </si>
  <si>
    <t>Gasto de Honorarios</t>
  </si>
  <si>
    <t>Gasto de Impuestos (ICA, etc.)</t>
  </si>
  <si>
    <t>Gasto de Seguros</t>
  </si>
  <si>
    <t>Gasto de Servicios Administrativos</t>
  </si>
  <si>
    <t>Gasto de Asesoría Legal</t>
  </si>
  <si>
    <t>Gasto de Mantenimiento y Reparaciones</t>
  </si>
  <si>
    <t>Gasto de Adecuación e Instalación</t>
  </si>
  <si>
    <t>Gastos Diversos</t>
  </si>
  <si>
    <t>Gasto Financiero (Bancario)</t>
  </si>
  <si>
    <t>Gasto Fee Fijo Mensual GEH Suites</t>
  </si>
  <si>
    <t>Gasto Fee Variable GEH Suites (% s/ventas)</t>
  </si>
  <si>
    <t>PESIMISTA</t>
  </si>
  <si>
    <t xml:space="preserve">OPTIMISTA </t>
  </si>
  <si>
    <t xml:space="preserve">DETALLE </t>
  </si>
  <si>
    <t>ESCENARIO CONSERVADOR  (ADR $560,000 / Ocupación base 65%)</t>
  </si>
  <si>
    <t>MES</t>
  </si>
  <si>
    <t xml:space="preserve">AÑO </t>
  </si>
  <si>
    <t>CONSERVADOR</t>
  </si>
  <si>
    <t xml:space="preserve"> </t>
  </si>
  <si>
    <t>PATIO CORA0 ( Estado P y G )</t>
  </si>
  <si>
    <t>Gasto de Nómina (4 personas)</t>
  </si>
  <si>
    <t>Nómina (4 personas incl. Gerente General)</t>
  </si>
  <si>
    <t>Fee Variable ( 58 mill - 80 mill ) ---- 3%</t>
  </si>
  <si>
    <t>Fee Variable ( 81 mill - 110 mill ) --- 4%</t>
  </si>
  <si>
    <t>Fee Variable ( 111 mill - 190 mill ) -- 5%</t>
  </si>
  <si>
    <t>Gastos Diversos (  imprevistos )</t>
  </si>
  <si>
    <t>Gastos Nomina Practicantes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</si>
</sst>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"/>
    <numFmt numFmtId="165" formatCode="0.0%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DACA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58585"/>
      </bottom>
      <diagonal/>
    </border>
    <border>
      <left style="medium">
        <color rgb="FF858585"/>
      </left>
      <right style="medium">
        <color rgb="FF858585"/>
      </right>
      <top style="medium">
        <color rgb="FFCCCCCC"/>
      </top>
      <bottom style="medium">
        <color rgb="FF858585"/>
      </bottom>
      <diagonal/>
    </border>
    <border>
      <left style="medium">
        <color rgb="FFCCCCCC"/>
      </left>
      <right style="medium">
        <color rgb="FF858585"/>
      </right>
      <top style="medium">
        <color rgb="FFCCCCCC"/>
      </top>
      <bottom style="medium">
        <color rgb="FF8585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2" fillId="0" borderId="0" applyFont="0" applyFill="0" applyBorder="0" applyAlignment="0" applyProtection="0"/>
  </cellStyleXfs>
  <cellXfs count="114">
    <xf numFmtId="0" fontId="0" fillId="0" borderId="0" xfId="0"/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9" fontId="0" fillId="0" borderId="1" xfId="0" applyNumberFormat="1" applyBorder="1" applyAlignment="1">
      <alignment horizontal="right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right" wrapText="1"/>
    </xf>
    <xf numFmtId="9" fontId="0" fillId="0" borderId="13" xfId="0" applyNumberFormat="1" applyBorder="1" applyAlignment="1">
      <alignment horizontal="right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9" fontId="4" fillId="0" borderId="15" xfId="0" applyNumberFormat="1" applyFont="1" applyBorder="1" applyAlignment="1">
      <alignment horizontal="right" wrapText="1"/>
    </xf>
    <xf numFmtId="0" fontId="7" fillId="0" borderId="0" xfId="0" applyFont="1"/>
    <xf numFmtId="0" fontId="8" fillId="0" borderId="0" xfId="0" applyFont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center"/>
    </xf>
    <xf numFmtId="9" fontId="10" fillId="0" borderId="0" xfId="0" applyNumberFormat="1" applyFont="1"/>
    <xf numFmtId="164" fontId="10" fillId="0" borderId="0" xfId="0" applyNumberFormat="1" applyFont="1"/>
    <xf numFmtId="3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165" fontId="9" fillId="0" borderId="0" xfId="0" applyNumberFormat="1" applyFont="1"/>
    <xf numFmtId="9" fontId="10" fillId="4" borderId="0" xfId="0" applyNumberFormat="1" applyFont="1" applyFill="1"/>
    <xf numFmtId="165" fontId="0" fillId="0" borderId="0" xfId="0" applyNumberFormat="1"/>
    <xf numFmtId="10" fontId="0" fillId="0" borderId="0" xfId="0" applyNumberFormat="1"/>
    <xf numFmtId="164" fontId="10" fillId="4" borderId="0" xfId="0" applyNumberFormat="1" applyFont="1" applyFill="1"/>
    <xf numFmtId="0" fontId="11" fillId="0" borderId="0" xfId="0" applyFont="1" applyAlignment="1">
      <alignment horizontal="center"/>
    </xf>
    <xf numFmtId="164" fontId="9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12" fillId="0" borderId="0" xfId="0" applyFont="1"/>
    <xf numFmtId="0" fontId="0" fillId="0" borderId="17" xfId="0" applyBorder="1"/>
    <xf numFmtId="164" fontId="2" fillId="0" borderId="17" xfId="0" applyNumberFormat="1" applyFont="1" applyBorder="1"/>
    <xf numFmtId="164" fontId="0" fillId="0" borderId="17" xfId="0" applyNumberFormat="1" applyBorder="1"/>
    <xf numFmtId="165" fontId="0" fillId="0" borderId="17" xfId="0" applyNumberFormat="1" applyBorder="1"/>
    <xf numFmtId="165" fontId="0" fillId="0" borderId="18" xfId="0" applyNumberFormat="1" applyBorder="1"/>
    <xf numFmtId="0" fontId="0" fillId="0" borderId="19" xfId="0" applyBorder="1"/>
    <xf numFmtId="0" fontId="2" fillId="0" borderId="19" xfId="0" applyFont="1" applyBorder="1"/>
    <xf numFmtId="0" fontId="0" fillId="0" borderId="20" xfId="0" applyBorder="1"/>
    <xf numFmtId="0" fontId="16" fillId="3" borderId="0" xfId="0" applyFont="1" applyFill="1"/>
    <xf numFmtId="0" fontId="17" fillId="0" borderId="0" xfId="0" applyFont="1"/>
    <xf numFmtId="0" fontId="16" fillId="0" borderId="19" xfId="0" applyFont="1" applyBorder="1"/>
    <xf numFmtId="0" fontId="18" fillId="5" borderId="19" xfId="0" applyFont="1" applyFill="1" applyBorder="1"/>
    <xf numFmtId="164" fontId="18" fillId="5" borderId="17" xfId="0" applyNumberFormat="1" applyFont="1" applyFill="1" applyBorder="1"/>
    <xf numFmtId="164" fontId="18" fillId="3" borderId="17" xfId="0" applyNumberFormat="1" applyFont="1" applyFill="1" applyBorder="1"/>
    <xf numFmtId="0" fontId="1" fillId="3" borderId="0" xfId="0" applyFont="1" applyFill="1"/>
    <xf numFmtId="0" fontId="19" fillId="3" borderId="17" xfId="0" applyFont="1" applyFill="1" applyBorder="1"/>
    <xf numFmtId="0" fontId="19" fillId="0" borderId="0" xfId="0" applyFont="1"/>
    <xf numFmtId="0" fontId="18" fillId="3" borderId="19" xfId="0" applyFont="1" applyFill="1" applyBorder="1"/>
    <xf numFmtId="0" fontId="19" fillId="5" borderId="17" xfId="0" applyFont="1" applyFill="1" applyBorder="1"/>
    <xf numFmtId="0" fontId="20" fillId="5" borderId="17" xfId="0" applyFont="1" applyFill="1" applyBorder="1"/>
    <xf numFmtId="0" fontId="18" fillId="5" borderId="0" xfId="0" applyFont="1" applyFill="1"/>
    <xf numFmtId="0" fontId="20" fillId="5" borderId="0" xfId="0" applyFont="1" applyFill="1"/>
    <xf numFmtId="0" fontId="21" fillId="8" borderId="0" xfId="0" applyFont="1" applyFill="1"/>
    <xf numFmtId="0" fontId="18" fillId="7" borderId="21" xfId="0" applyFont="1" applyFill="1" applyBorder="1"/>
    <xf numFmtId="164" fontId="18" fillId="7" borderId="16" xfId="0" applyNumberFormat="1" applyFont="1" applyFill="1" applyBorder="1"/>
    <xf numFmtId="0" fontId="23" fillId="6" borderId="16" xfId="0" applyFont="1" applyFill="1" applyBorder="1" applyAlignment="1">
      <alignment horizontal="center"/>
    </xf>
    <xf numFmtId="166" fontId="0" fillId="0" borderId="0" xfId="1" applyNumberFormat="1" applyFont="1" applyFill="1" applyBorder="1"/>
    <xf numFmtId="9" fontId="11" fillId="0" borderId="17" xfId="0" applyNumberFormat="1" applyFont="1" applyBorder="1"/>
    <xf numFmtId="164" fontId="11" fillId="0" borderId="17" xfId="0" applyNumberFormat="1" applyFont="1" applyBorder="1"/>
    <xf numFmtId="3" fontId="11" fillId="0" borderId="17" xfId="0" applyNumberFormat="1" applyFont="1" applyBorder="1"/>
    <xf numFmtId="9" fontId="11" fillId="0" borderId="23" xfId="0" applyNumberFormat="1" applyFont="1" applyBorder="1"/>
    <xf numFmtId="9" fontId="25" fillId="0" borderId="17" xfId="0" applyNumberFormat="1" applyFont="1" applyBorder="1"/>
    <xf numFmtId="164" fontId="25" fillId="0" borderId="17" xfId="0" applyNumberFormat="1" applyFont="1" applyBorder="1"/>
    <xf numFmtId="3" fontId="25" fillId="0" borderId="17" xfId="0" applyNumberFormat="1" applyFont="1" applyBorder="1"/>
    <xf numFmtId="164" fontId="0" fillId="0" borderId="17" xfId="0" quotePrefix="1" applyNumberFormat="1" applyBorder="1"/>
    <xf numFmtId="0" fontId="26" fillId="0" borderId="0" xfId="0" applyFont="1"/>
    <xf numFmtId="0" fontId="26" fillId="0" borderId="19" xfId="0" applyFont="1" applyBorder="1"/>
    <xf numFmtId="164" fontId="26" fillId="0" borderId="17" xfId="0" applyNumberFormat="1" applyFont="1" applyBorder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4" fillId="6" borderId="21" xfId="0" applyFont="1" applyFill="1" applyBorder="1" applyAlignment="1">
      <alignment horizontal="center"/>
    </xf>
    <xf numFmtId="0" fontId="24" fillId="6" borderId="24" xfId="0" applyFont="1" applyFill="1" applyBorder="1" applyAlignment="1">
      <alignment horizontal="center"/>
    </xf>
    <xf numFmtId="0" fontId="15" fillId="6" borderId="23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/>
    </xf>
    <xf numFmtId="0" fontId="15" fillId="6" borderId="24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160812</xdr:colOff>
      <xdr:row>0</xdr:row>
      <xdr:rowOff>111330</xdr:rowOff>
    </xdr:from>
    <xdr:to>
      <xdr:col>9</xdr:col>
      <xdr:colOff>383474</xdr:colOff>
      <xdr:row>77</xdr:row>
      <xdr:rowOff>141816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81A311-A2F6-7D4D-CE56-4BCE0399F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12" y="111330"/>
          <a:ext cx="10675422" cy="14367467"/>
        </a:xfrm>
        <a:prstGeom prst="rect">
          <a:avLst/>
        </a:prstGeom>
      </xdr:spPr>
    </xdr:pic>
    <xdr:clientData/>
  </xdr:twoCellAnchor>
  <xdr:twoCellAnchor editAs="oneCell">
    <xdr:from>
      <xdr:col>0</xdr:col>
      <xdr:colOff>742208</xdr:colOff>
      <xdr:row>75</xdr:row>
      <xdr:rowOff>61851</xdr:rowOff>
    </xdr:from>
    <xdr:to>
      <xdr:col>9</xdr:col>
      <xdr:colOff>0</xdr:colOff>
      <xdr:row>161</xdr:row>
      <xdr:rowOff>86592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EFC5CE-EB0D-3B7B-5610-F97038520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208" y="13978247"/>
          <a:ext cx="9710552" cy="159822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4CEE3A-3471-49A7-99ED-76E039BDAA42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f6488cfe-67d6-4f8f-8a96-791cb32fb6cb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4DD5-8383-4E37-B877-41F31E4B82E6}">
  <dimension ref="A1:C20"/>
  <sheetViews>
    <sheetView workbookViewId="0">
      <selection activeCell="A20" sqref="A20"/>
    </sheetView>
  </sheetViews>
  <sheetFormatPr baseColWidth="10" defaultRowHeight="15" x14ac:dyDescent="0.25"/>
  <sheetData>
    <row r="1" spans="1:3" x14ac:dyDescent="0.25">
      <c r="A1" t="s">
        <v>614</v>
      </c>
    </row>
    <row r="3" spans="1:3" x14ac:dyDescent="0.25">
      <c r="A3" t="s">
        <v>615</v>
      </c>
      <c r="C3">
        <v>8</v>
      </c>
    </row>
    <row r="4" spans="1:3" x14ac:dyDescent="0.25">
      <c r="A4" t="s">
        <v>618</v>
      </c>
    </row>
    <row r="5" spans="1:3" x14ac:dyDescent="0.25">
      <c r="A5" t="s">
        <v>616</v>
      </c>
    </row>
    <row r="6" spans="1:3" x14ac:dyDescent="0.25">
      <c r="A6" t="s">
        <v>630</v>
      </c>
    </row>
    <row r="7" spans="1:3" x14ac:dyDescent="0.25">
      <c r="A7" t="s">
        <v>619</v>
      </c>
    </row>
    <row r="8" spans="1:3" x14ac:dyDescent="0.25">
      <c r="A8" t="s">
        <v>617</v>
      </c>
    </row>
    <row r="9" spans="1:3" x14ac:dyDescent="0.25">
      <c r="A9" t="s">
        <v>620</v>
      </c>
    </row>
    <row r="10" spans="1:3" x14ac:dyDescent="0.25">
      <c r="A10" t="s">
        <v>621</v>
      </c>
    </row>
    <row r="11" spans="1:3" x14ac:dyDescent="0.25">
      <c r="A11" t="s">
        <v>622</v>
      </c>
    </row>
    <row r="12" spans="1:3" x14ac:dyDescent="0.25">
      <c r="A12" t="s">
        <v>623</v>
      </c>
    </row>
    <row r="13" spans="1:3" x14ac:dyDescent="0.25">
      <c r="A13" t="s">
        <v>624</v>
      </c>
    </row>
    <row r="14" spans="1:3" x14ac:dyDescent="0.25">
      <c r="A14" t="s">
        <v>625</v>
      </c>
    </row>
    <row r="15" spans="1:3" x14ac:dyDescent="0.25">
      <c r="A15" t="s">
        <v>626</v>
      </c>
    </row>
    <row r="16" spans="1:3" x14ac:dyDescent="0.25">
      <c r="A16" t="s">
        <v>627</v>
      </c>
    </row>
    <row r="17" spans="1:1" x14ac:dyDescent="0.25">
      <c r="A17" t="s">
        <v>628</v>
      </c>
    </row>
    <row r="18" spans="1:1" x14ac:dyDescent="0.25">
      <c r="A18" t="s">
        <v>629</v>
      </c>
    </row>
    <row r="19" spans="1:1" x14ac:dyDescent="0.25">
      <c r="A19" t="s">
        <v>631</v>
      </c>
    </row>
    <row r="20" spans="1:1" x14ac:dyDescent="0.25">
      <c r="A20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139F-D22B-4071-B676-5B558AD75AAC}">
  <dimension ref="A1:EY23"/>
  <sheetViews>
    <sheetView topLeftCell="A16" workbookViewId="0">
      <selection activeCell="E33" sqref="E33"/>
    </sheetView>
  </sheetViews>
  <sheetFormatPr baseColWidth="10" defaultRowHeight="15" x14ac:dyDescent="0.25"/>
  <cols>
    <col min="1" max="1" width="20.28515625" customWidth="1"/>
    <col min="2" max="155" width="14.5703125" customWidth="1"/>
  </cols>
  <sheetData>
    <row r="1" spans="1:155" ht="24" thickBot="1" x14ac:dyDescent="0.3">
      <c r="A1" s="83" t="s">
        <v>0</v>
      </c>
      <c r="B1" s="84"/>
      <c r="C1" s="8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</row>
    <row r="2" spans="1:155" ht="26.25" customHeight="1" thickBot="1" x14ac:dyDescent="0.3">
      <c r="A2" s="86" t="s">
        <v>1</v>
      </c>
      <c r="B2" s="8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</row>
    <row r="3" spans="1:155" ht="15.75" thickBot="1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</row>
    <row r="4" spans="1:155" ht="18.75" customHeight="1" thickBot="1" x14ac:dyDescent="0.3">
      <c r="A4" s="1" t="s">
        <v>3</v>
      </c>
      <c r="B4" s="2">
        <v>46054</v>
      </c>
      <c r="C4" s="2">
        <v>46055</v>
      </c>
      <c r="D4" s="2">
        <v>46056</v>
      </c>
      <c r="E4" s="2">
        <v>46057</v>
      </c>
      <c r="F4" s="2">
        <v>46058</v>
      </c>
      <c r="G4" s="2">
        <v>46059</v>
      </c>
      <c r="H4" s="2">
        <v>46060</v>
      </c>
      <c r="I4" s="2">
        <v>46061</v>
      </c>
      <c r="J4" s="2">
        <v>46062</v>
      </c>
      <c r="K4" s="2">
        <v>46063</v>
      </c>
      <c r="L4" s="2">
        <v>46064</v>
      </c>
      <c r="M4" s="2">
        <v>46065</v>
      </c>
      <c r="N4" s="2">
        <v>46066</v>
      </c>
      <c r="O4" s="2">
        <v>46067</v>
      </c>
      <c r="P4" s="2">
        <v>46068</v>
      </c>
      <c r="Q4" s="2">
        <v>46069</v>
      </c>
      <c r="R4" s="2">
        <v>46070</v>
      </c>
      <c r="S4" s="2">
        <v>46071</v>
      </c>
      <c r="T4" s="2">
        <v>46072</v>
      </c>
      <c r="U4" s="2">
        <v>46073</v>
      </c>
      <c r="V4" s="2">
        <v>46074</v>
      </c>
      <c r="W4" s="2">
        <v>46075</v>
      </c>
      <c r="X4" s="2">
        <v>46076</v>
      </c>
      <c r="Y4" s="2">
        <v>46077</v>
      </c>
      <c r="Z4" s="2">
        <v>46078</v>
      </c>
      <c r="AA4" s="2">
        <v>46079</v>
      </c>
      <c r="AB4" s="2">
        <v>46080</v>
      </c>
      <c r="AC4" s="2">
        <v>46081</v>
      </c>
      <c r="AD4" s="2">
        <v>46082</v>
      </c>
      <c r="AE4" s="2">
        <v>46083</v>
      </c>
      <c r="AF4" s="2">
        <v>46084</v>
      </c>
      <c r="AG4" s="2">
        <v>46085</v>
      </c>
      <c r="AH4" s="2">
        <v>46086</v>
      </c>
      <c r="AI4" s="2">
        <v>46087</v>
      </c>
      <c r="AJ4" s="2">
        <v>46088</v>
      </c>
      <c r="AK4" s="2">
        <v>46089</v>
      </c>
      <c r="AL4" s="2">
        <v>46090</v>
      </c>
      <c r="AM4" s="2">
        <v>46091</v>
      </c>
      <c r="AN4" s="2">
        <v>46092</v>
      </c>
      <c r="AO4" s="2">
        <v>46093</v>
      </c>
      <c r="AP4" s="2">
        <v>46094</v>
      </c>
      <c r="AQ4" s="2">
        <v>46095</v>
      </c>
      <c r="AR4" s="2">
        <v>46096</v>
      </c>
      <c r="AS4" s="2">
        <v>46097</v>
      </c>
      <c r="AT4" s="2">
        <v>46098</v>
      </c>
      <c r="AU4" s="2">
        <v>46099</v>
      </c>
      <c r="AV4" s="2">
        <v>46100</v>
      </c>
      <c r="AW4" s="2">
        <v>46101</v>
      </c>
      <c r="AX4" s="2">
        <v>46102</v>
      </c>
      <c r="AY4" s="2">
        <v>46103</v>
      </c>
      <c r="AZ4" s="2">
        <v>46104</v>
      </c>
      <c r="BA4" s="2">
        <v>46105</v>
      </c>
      <c r="BB4" s="2">
        <v>46106</v>
      </c>
      <c r="BC4" s="2">
        <v>46107</v>
      </c>
      <c r="BD4" s="2">
        <v>46108</v>
      </c>
      <c r="BE4" s="2">
        <v>46109</v>
      </c>
      <c r="BF4" s="2">
        <v>46110</v>
      </c>
      <c r="BG4" s="2">
        <v>46111</v>
      </c>
      <c r="BH4" s="2">
        <v>46112</v>
      </c>
      <c r="BI4" s="2">
        <v>46113</v>
      </c>
      <c r="BJ4" s="2">
        <v>46114</v>
      </c>
      <c r="BK4" s="2">
        <v>46115</v>
      </c>
      <c r="BL4" s="2">
        <v>46116</v>
      </c>
      <c r="BM4" s="2">
        <v>46117</v>
      </c>
      <c r="BN4" s="2">
        <v>46118</v>
      </c>
      <c r="BO4" s="2">
        <v>46119</v>
      </c>
      <c r="BP4" s="2">
        <v>46120</v>
      </c>
      <c r="BQ4" s="2">
        <v>46121</v>
      </c>
      <c r="BR4" s="2">
        <v>46122</v>
      </c>
      <c r="BS4" s="2">
        <v>46123</v>
      </c>
      <c r="BT4" s="2">
        <v>46124</v>
      </c>
      <c r="BU4" s="2">
        <v>46125</v>
      </c>
      <c r="BV4" s="2">
        <v>46126</v>
      </c>
      <c r="BW4" s="2">
        <v>46127</v>
      </c>
      <c r="BX4" s="2">
        <v>46128</v>
      </c>
      <c r="BY4" s="2">
        <v>46129</v>
      </c>
      <c r="BZ4" s="2">
        <v>46130</v>
      </c>
      <c r="CA4" s="2">
        <v>46131</v>
      </c>
      <c r="CB4" s="2">
        <v>46132</v>
      </c>
      <c r="CC4" s="2">
        <v>46133</v>
      </c>
      <c r="CD4" s="2">
        <v>46134</v>
      </c>
      <c r="CE4" s="2">
        <v>46135</v>
      </c>
      <c r="CF4" s="2">
        <v>46136</v>
      </c>
      <c r="CG4" s="2">
        <v>46137</v>
      </c>
      <c r="CH4" s="2">
        <v>46138</v>
      </c>
      <c r="CI4" s="2">
        <v>46139</v>
      </c>
      <c r="CJ4" s="2">
        <v>46140</v>
      </c>
      <c r="CK4" s="2">
        <v>46141</v>
      </c>
      <c r="CL4" s="2">
        <v>46142</v>
      </c>
      <c r="CM4" s="2">
        <v>46143</v>
      </c>
      <c r="CN4" s="2">
        <v>46144</v>
      </c>
      <c r="CO4" s="2">
        <v>46145</v>
      </c>
      <c r="CP4" s="2">
        <v>46146</v>
      </c>
      <c r="CQ4" s="2">
        <v>46147</v>
      </c>
      <c r="CR4" s="2">
        <v>46148</v>
      </c>
      <c r="CS4" s="2">
        <v>46149</v>
      </c>
      <c r="CT4" s="2">
        <v>46150</v>
      </c>
      <c r="CU4" s="2">
        <v>46151</v>
      </c>
      <c r="CV4" s="2">
        <v>46152</v>
      </c>
      <c r="CW4" s="2">
        <v>46153</v>
      </c>
      <c r="CX4" s="2">
        <v>46154</v>
      </c>
      <c r="CY4" s="2">
        <v>46155</v>
      </c>
      <c r="CZ4" s="2">
        <v>46156</v>
      </c>
      <c r="DA4" s="2">
        <v>46157</v>
      </c>
      <c r="DB4" s="2">
        <v>46158</v>
      </c>
      <c r="DC4" s="2">
        <v>46159</v>
      </c>
      <c r="DD4" s="2">
        <v>46160</v>
      </c>
      <c r="DE4" s="2">
        <v>46161</v>
      </c>
      <c r="DF4" s="2">
        <v>46162</v>
      </c>
      <c r="DG4" s="2">
        <v>46163</v>
      </c>
      <c r="DH4" s="2">
        <v>46164</v>
      </c>
      <c r="DI4" s="2">
        <v>46165</v>
      </c>
      <c r="DJ4" s="2">
        <v>46166</v>
      </c>
      <c r="DK4" s="2">
        <v>46167</v>
      </c>
      <c r="DL4" s="2">
        <v>46168</v>
      </c>
      <c r="DM4" s="2">
        <v>46169</v>
      </c>
      <c r="DN4" s="2">
        <v>46170</v>
      </c>
      <c r="DO4" s="2">
        <v>46171</v>
      </c>
      <c r="DP4" s="2">
        <v>46172</v>
      </c>
      <c r="DQ4" s="2">
        <v>46173</v>
      </c>
      <c r="DR4" s="2">
        <v>46174</v>
      </c>
      <c r="DS4" s="2">
        <v>46175</v>
      </c>
      <c r="DT4" s="2">
        <v>46176</v>
      </c>
      <c r="DU4" s="2">
        <v>46177</v>
      </c>
      <c r="DV4" s="2">
        <v>46178</v>
      </c>
      <c r="DW4" s="2">
        <v>46179</v>
      </c>
      <c r="DX4" s="2">
        <v>46180</v>
      </c>
      <c r="DY4" s="2">
        <v>46181</v>
      </c>
      <c r="DZ4" s="2">
        <v>46182</v>
      </c>
      <c r="EA4" s="2">
        <v>46183</v>
      </c>
      <c r="EB4" s="2">
        <v>46184</v>
      </c>
      <c r="EC4" s="2">
        <v>46185</v>
      </c>
      <c r="ED4" s="2">
        <v>46186</v>
      </c>
      <c r="EE4" s="2">
        <v>46187</v>
      </c>
      <c r="EF4" s="2">
        <v>46188</v>
      </c>
      <c r="EG4" s="2">
        <v>46189</v>
      </c>
      <c r="EH4" s="2">
        <v>46190</v>
      </c>
      <c r="EI4" s="2">
        <v>46191</v>
      </c>
      <c r="EJ4" s="2">
        <v>46192</v>
      </c>
      <c r="EK4" s="2">
        <v>46193</v>
      </c>
      <c r="EL4" s="2">
        <v>46194</v>
      </c>
      <c r="EM4" s="2">
        <v>46195</v>
      </c>
      <c r="EN4" s="2">
        <v>46196</v>
      </c>
      <c r="EO4" s="2">
        <v>46197</v>
      </c>
      <c r="EP4" s="2">
        <v>46198</v>
      </c>
      <c r="EQ4" s="2">
        <v>46199</v>
      </c>
      <c r="ER4" s="2">
        <v>46200</v>
      </c>
      <c r="ES4" s="2">
        <v>46201</v>
      </c>
      <c r="ET4" s="2">
        <v>46202</v>
      </c>
      <c r="EU4" s="2">
        <v>46203</v>
      </c>
      <c r="EV4" s="2">
        <v>46204</v>
      </c>
      <c r="EW4" s="2">
        <v>46205</v>
      </c>
      <c r="EX4" s="2">
        <v>46206</v>
      </c>
      <c r="EY4" s="6" t="s">
        <v>4</v>
      </c>
    </row>
    <row r="5" spans="1:155" s="4" customFormat="1" ht="15.75" thickBot="1" x14ac:dyDescent="0.3">
      <c r="A5" s="3" t="s">
        <v>5</v>
      </c>
      <c r="B5" s="3">
        <v>5</v>
      </c>
      <c r="C5" s="3">
        <v>6</v>
      </c>
      <c r="D5" s="3">
        <v>5</v>
      </c>
      <c r="E5" s="3">
        <v>6</v>
      </c>
      <c r="F5" s="3">
        <v>7</v>
      </c>
      <c r="G5" s="3">
        <v>7</v>
      </c>
      <c r="H5" s="3">
        <v>5</v>
      </c>
      <c r="I5" s="3">
        <v>7</v>
      </c>
      <c r="J5" s="3">
        <v>7</v>
      </c>
      <c r="K5" s="3">
        <v>8</v>
      </c>
      <c r="L5" s="3">
        <v>8</v>
      </c>
      <c r="M5" s="3">
        <v>8</v>
      </c>
      <c r="N5" s="3">
        <v>8</v>
      </c>
      <c r="O5" s="3">
        <v>8</v>
      </c>
      <c r="P5" s="3">
        <v>8</v>
      </c>
      <c r="Q5" s="3">
        <v>8</v>
      </c>
      <c r="R5" s="3">
        <v>8</v>
      </c>
      <c r="S5" s="3">
        <v>7</v>
      </c>
      <c r="T5" s="3">
        <v>7</v>
      </c>
      <c r="U5" s="3">
        <v>8</v>
      </c>
      <c r="V5" s="3">
        <v>8</v>
      </c>
      <c r="W5" s="3">
        <v>6</v>
      </c>
      <c r="X5" s="3">
        <v>6</v>
      </c>
      <c r="Y5" s="3">
        <v>5</v>
      </c>
      <c r="Z5" s="3">
        <v>6</v>
      </c>
      <c r="AA5" s="3">
        <v>8</v>
      </c>
      <c r="AB5" s="3">
        <v>7</v>
      </c>
      <c r="AC5" s="3">
        <v>8</v>
      </c>
      <c r="AD5" s="3">
        <v>7</v>
      </c>
      <c r="AE5" s="3">
        <v>4</v>
      </c>
      <c r="AF5" s="3">
        <v>4</v>
      </c>
      <c r="AG5" s="3">
        <v>4</v>
      </c>
      <c r="AH5" s="3">
        <v>4</v>
      </c>
      <c r="AI5" s="3">
        <v>6</v>
      </c>
      <c r="AJ5" s="3">
        <v>5</v>
      </c>
      <c r="AK5" s="3">
        <v>7</v>
      </c>
      <c r="AL5" s="3">
        <v>7</v>
      </c>
      <c r="AM5" s="3">
        <v>6</v>
      </c>
      <c r="AN5" s="3">
        <v>7</v>
      </c>
      <c r="AO5" s="3">
        <v>8</v>
      </c>
      <c r="AP5" s="3">
        <v>7</v>
      </c>
      <c r="AQ5" s="3">
        <v>8</v>
      </c>
      <c r="AR5" s="3">
        <v>8</v>
      </c>
      <c r="AS5" s="3">
        <v>7</v>
      </c>
      <c r="AT5" s="3">
        <v>6</v>
      </c>
      <c r="AU5" s="3">
        <v>6</v>
      </c>
      <c r="AV5" s="3">
        <v>6</v>
      </c>
      <c r="AW5" s="3">
        <v>7</v>
      </c>
      <c r="AX5" s="3">
        <v>6</v>
      </c>
      <c r="AY5" s="3">
        <v>5</v>
      </c>
      <c r="AZ5" s="3">
        <v>1</v>
      </c>
      <c r="BA5" s="3">
        <v>4</v>
      </c>
      <c r="BB5" s="3">
        <v>4</v>
      </c>
      <c r="BC5" s="3">
        <v>7</v>
      </c>
      <c r="BD5" s="3">
        <v>8</v>
      </c>
      <c r="BE5" s="3">
        <v>7</v>
      </c>
      <c r="BF5" s="3">
        <v>6</v>
      </c>
      <c r="BG5" s="3">
        <v>7</v>
      </c>
      <c r="BH5" s="3">
        <v>7</v>
      </c>
      <c r="BI5" s="3">
        <v>6</v>
      </c>
      <c r="BJ5" s="3">
        <v>8</v>
      </c>
      <c r="BK5" s="3">
        <v>8</v>
      </c>
      <c r="BL5" s="3">
        <v>8</v>
      </c>
      <c r="BM5" s="3">
        <v>6</v>
      </c>
      <c r="BN5" s="3">
        <v>5</v>
      </c>
      <c r="BO5" s="3">
        <v>5</v>
      </c>
      <c r="BP5" s="3">
        <v>5</v>
      </c>
      <c r="BQ5" s="3">
        <v>5</v>
      </c>
      <c r="BR5" s="3">
        <v>7</v>
      </c>
      <c r="BS5" s="3">
        <v>6</v>
      </c>
      <c r="BT5" s="3">
        <v>4</v>
      </c>
      <c r="BU5" s="3">
        <v>4</v>
      </c>
      <c r="BV5" s="3">
        <v>4</v>
      </c>
      <c r="BW5" s="3">
        <v>3</v>
      </c>
      <c r="BX5" s="3">
        <v>5</v>
      </c>
      <c r="BY5" s="3">
        <v>5</v>
      </c>
      <c r="BZ5" s="3">
        <v>8</v>
      </c>
      <c r="CA5" s="3">
        <v>5</v>
      </c>
      <c r="CB5" s="3">
        <v>5</v>
      </c>
      <c r="CC5" s="3">
        <v>6</v>
      </c>
      <c r="CD5" s="3">
        <v>1</v>
      </c>
      <c r="CE5" s="3">
        <v>5</v>
      </c>
      <c r="CF5" s="3">
        <v>5</v>
      </c>
      <c r="CG5" s="3">
        <v>6</v>
      </c>
      <c r="CH5" s="3">
        <v>3</v>
      </c>
      <c r="CI5" s="3">
        <v>1</v>
      </c>
      <c r="CJ5" s="3">
        <v>3</v>
      </c>
      <c r="CK5" s="3">
        <v>5</v>
      </c>
      <c r="CL5" s="3">
        <v>7</v>
      </c>
      <c r="CM5" s="3">
        <v>4</v>
      </c>
      <c r="CN5" s="3">
        <v>5</v>
      </c>
      <c r="CO5" s="3">
        <v>7</v>
      </c>
      <c r="CP5" s="3">
        <v>7</v>
      </c>
      <c r="CQ5" s="3">
        <v>5</v>
      </c>
      <c r="CR5" s="3">
        <v>2</v>
      </c>
      <c r="CS5" s="3">
        <v>2</v>
      </c>
      <c r="CT5" s="3">
        <v>3</v>
      </c>
      <c r="CU5" s="3">
        <v>6</v>
      </c>
      <c r="CV5" s="3">
        <v>4</v>
      </c>
      <c r="CW5" s="3">
        <v>5</v>
      </c>
      <c r="CX5" s="3">
        <v>3</v>
      </c>
      <c r="CY5" s="3">
        <v>5</v>
      </c>
      <c r="CZ5" s="3">
        <v>7</v>
      </c>
      <c r="DA5" s="3">
        <v>5</v>
      </c>
      <c r="DB5" s="3">
        <v>5</v>
      </c>
      <c r="DC5" s="3">
        <v>7</v>
      </c>
      <c r="DD5" s="3">
        <v>6</v>
      </c>
      <c r="DE5" s="3">
        <v>6</v>
      </c>
      <c r="DF5" s="3">
        <v>6</v>
      </c>
      <c r="DG5" s="3">
        <v>3</v>
      </c>
      <c r="DH5" s="3">
        <v>5</v>
      </c>
      <c r="DI5" s="3">
        <v>6</v>
      </c>
      <c r="DJ5" s="3">
        <v>3</v>
      </c>
      <c r="DK5" s="3">
        <v>5</v>
      </c>
      <c r="DL5" s="3">
        <v>5</v>
      </c>
      <c r="DM5" s="3">
        <v>5</v>
      </c>
      <c r="DN5" s="3">
        <v>5</v>
      </c>
      <c r="DO5" s="3">
        <v>6</v>
      </c>
      <c r="DP5" s="3">
        <v>5</v>
      </c>
      <c r="DQ5" s="3">
        <v>3</v>
      </c>
      <c r="DR5" s="3">
        <v>2</v>
      </c>
      <c r="DS5" s="3">
        <v>3</v>
      </c>
      <c r="DT5" s="3">
        <v>3</v>
      </c>
      <c r="DU5" s="3">
        <v>4</v>
      </c>
      <c r="DV5" s="3">
        <v>5</v>
      </c>
      <c r="DW5" s="3">
        <v>8</v>
      </c>
      <c r="DX5" s="3">
        <v>5</v>
      </c>
      <c r="DY5" s="3">
        <v>2</v>
      </c>
      <c r="DZ5" s="3">
        <v>4</v>
      </c>
      <c r="EA5" s="3">
        <v>5</v>
      </c>
      <c r="EB5" s="3">
        <v>5</v>
      </c>
      <c r="EC5" s="3">
        <v>2</v>
      </c>
      <c r="ED5" s="3">
        <v>2</v>
      </c>
      <c r="EE5" s="3">
        <v>2</v>
      </c>
      <c r="EF5" s="3">
        <v>0</v>
      </c>
      <c r="EG5" s="3">
        <v>1</v>
      </c>
      <c r="EH5" s="3">
        <v>2</v>
      </c>
      <c r="EI5" s="3">
        <v>2</v>
      </c>
      <c r="EJ5" s="3">
        <v>2</v>
      </c>
      <c r="EK5" s="3">
        <v>1</v>
      </c>
      <c r="EL5" s="3">
        <v>1</v>
      </c>
      <c r="EM5" s="3">
        <v>1</v>
      </c>
      <c r="EN5" s="3">
        <v>2</v>
      </c>
      <c r="EO5" s="3">
        <v>1</v>
      </c>
      <c r="EP5" s="3">
        <v>1</v>
      </c>
      <c r="EQ5" s="3">
        <v>2</v>
      </c>
      <c r="ER5" s="3">
        <v>4</v>
      </c>
      <c r="ES5" s="3">
        <v>2</v>
      </c>
      <c r="ET5" s="3">
        <v>2</v>
      </c>
      <c r="EU5" s="3">
        <v>1</v>
      </c>
      <c r="EV5" s="3">
        <v>1</v>
      </c>
      <c r="EW5" s="3">
        <v>4</v>
      </c>
      <c r="EX5" s="3">
        <v>5</v>
      </c>
      <c r="EY5" s="6">
        <v>773</v>
      </c>
    </row>
    <row r="6" spans="1:155" ht="15.75" thickBot="1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  <c r="BI6" s="1" t="s">
        <v>65</v>
      </c>
      <c r="BJ6" s="1" t="s">
        <v>66</v>
      </c>
      <c r="BK6" s="1" t="s">
        <v>67</v>
      </c>
      <c r="BL6" s="1" t="s">
        <v>68</v>
      </c>
      <c r="BM6" s="1" t="s">
        <v>69</v>
      </c>
      <c r="BN6" s="1" t="s">
        <v>70</v>
      </c>
      <c r="BO6" s="1" t="s">
        <v>71</v>
      </c>
      <c r="BP6" s="1" t="s">
        <v>72</v>
      </c>
      <c r="BQ6" s="1" t="s">
        <v>73</v>
      </c>
      <c r="BR6" s="1" t="s">
        <v>74</v>
      </c>
      <c r="BS6" s="1" t="s">
        <v>75</v>
      </c>
      <c r="BT6" s="1" t="s">
        <v>76</v>
      </c>
      <c r="BU6" s="1" t="s">
        <v>77</v>
      </c>
      <c r="BV6" s="1" t="s">
        <v>78</v>
      </c>
      <c r="BW6" s="1" t="s">
        <v>79</v>
      </c>
      <c r="BX6" s="1" t="s">
        <v>80</v>
      </c>
      <c r="BY6" s="1" t="s">
        <v>81</v>
      </c>
      <c r="BZ6" s="1" t="s">
        <v>82</v>
      </c>
      <c r="CA6" s="1" t="s">
        <v>83</v>
      </c>
      <c r="CB6" s="1" t="s">
        <v>84</v>
      </c>
      <c r="CC6" s="1" t="s">
        <v>85</v>
      </c>
      <c r="CD6" s="1" t="s">
        <v>86</v>
      </c>
      <c r="CE6" s="1" t="s">
        <v>87</v>
      </c>
      <c r="CF6" s="1" t="s">
        <v>88</v>
      </c>
      <c r="CG6" s="1" t="s">
        <v>89</v>
      </c>
      <c r="CH6" s="1" t="s">
        <v>90</v>
      </c>
      <c r="CI6" s="1" t="s">
        <v>91</v>
      </c>
      <c r="CJ6" s="1" t="s">
        <v>92</v>
      </c>
      <c r="CK6" s="1" t="s">
        <v>93</v>
      </c>
      <c r="CL6" s="1" t="s">
        <v>94</v>
      </c>
      <c r="CM6" s="1" t="s">
        <v>95</v>
      </c>
      <c r="CN6" s="1" t="s">
        <v>96</v>
      </c>
      <c r="CO6" s="1" t="s">
        <v>97</v>
      </c>
      <c r="CP6" s="1" t="s">
        <v>98</v>
      </c>
      <c r="CQ6" s="1" t="s">
        <v>99</v>
      </c>
      <c r="CR6" s="1" t="s">
        <v>100</v>
      </c>
      <c r="CS6" s="1" t="s">
        <v>101</v>
      </c>
      <c r="CT6" s="1" t="s">
        <v>102</v>
      </c>
      <c r="CU6" s="1" t="s">
        <v>103</v>
      </c>
      <c r="CV6" s="1" t="s">
        <v>104</v>
      </c>
      <c r="CW6" s="1" t="s">
        <v>105</v>
      </c>
      <c r="CX6" s="1" t="s">
        <v>106</v>
      </c>
      <c r="CY6" s="1" t="s">
        <v>107</v>
      </c>
      <c r="CZ6" s="1" t="s">
        <v>108</v>
      </c>
      <c r="DA6" s="1" t="s">
        <v>109</v>
      </c>
      <c r="DB6" s="1" t="s">
        <v>110</v>
      </c>
      <c r="DC6" s="1" t="s">
        <v>111</v>
      </c>
      <c r="DD6" s="1" t="s">
        <v>112</v>
      </c>
      <c r="DE6" s="1" t="s">
        <v>113</v>
      </c>
      <c r="DF6" s="1" t="s">
        <v>114</v>
      </c>
      <c r="DG6" s="1" t="s">
        <v>115</v>
      </c>
      <c r="DH6" s="1" t="s">
        <v>116</v>
      </c>
      <c r="DI6" s="1" t="s">
        <v>117</v>
      </c>
      <c r="DJ6" s="1" t="s">
        <v>118</v>
      </c>
      <c r="DK6" s="1" t="s">
        <v>119</v>
      </c>
      <c r="DL6" s="1" t="s">
        <v>120</v>
      </c>
      <c r="DM6" s="1" t="s">
        <v>121</v>
      </c>
      <c r="DN6" s="1" t="s">
        <v>122</v>
      </c>
      <c r="DO6" s="1" t="s">
        <v>123</v>
      </c>
      <c r="DP6" s="1" t="s">
        <v>124</v>
      </c>
      <c r="DQ6" s="1" t="s">
        <v>125</v>
      </c>
      <c r="DR6" s="1" t="s">
        <v>126</v>
      </c>
      <c r="DS6" s="1" t="s">
        <v>127</v>
      </c>
      <c r="DT6" s="1" t="s">
        <v>128</v>
      </c>
      <c r="DU6" s="1" t="s">
        <v>129</v>
      </c>
      <c r="DV6" s="1" t="s">
        <v>130</v>
      </c>
      <c r="DW6" s="1" t="s">
        <v>131</v>
      </c>
      <c r="DX6" s="1" t="s">
        <v>132</v>
      </c>
      <c r="DY6" s="1" t="s">
        <v>133</v>
      </c>
      <c r="DZ6" s="1" t="s">
        <v>134</v>
      </c>
      <c r="EA6" s="1" t="s">
        <v>135</v>
      </c>
      <c r="EB6" s="1" t="s">
        <v>136</v>
      </c>
      <c r="EC6" s="1" t="s">
        <v>137</v>
      </c>
      <c r="ED6" s="1" t="s">
        <v>137</v>
      </c>
      <c r="EE6" s="1" t="s">
        <v>137</v>
      </c>
      <c r="EF6" s="1" t="s">
        <v>138</v>
      </c>
      <c r="EG6" s="1" t="s">
        <v>139</v>
      </c>
      <c r="EH6" s="1" t="s">
        <v>140</v>
      </c>
      <c r="EI6" s="1" t="s">
        <v>141</v>
      </c>
      <c r="EJ6" s="1" t="s">
        <v>141</v>
      </c>
      <c r="EK6" s="1" t="s">
        <v>142</v>
      </c>
      <c r="EL6" s="1" t="s">
        <v>142</v>
      </c>
      <c r="EM6" s="1" t="s">
        <v>138</v>
      </c>
      <c r="EN6" s="1" t="s">
        <v>143</v>
      </c>
      <c r="EO6" s="1" t="s">
        <v>138</v>
      </c>
      <c r="EP6" s="1" t="s">
        <v>144</v>
      </c>
      <c r="EQ6" s="1" t="s">
        <v>145</v>
      </c>
      <c r="ER6" s="1" t="s">
        <v>146</v>
      </c>
      <c r="ES6" s="1" t="s">
        <v>147</v>
      </c>
      <c r="ET6" s="1" t="s">
        <v>147</v>
      </c>
      <c r="EU6" s="1" t="s">
        <v>148</v>
      </c>
      <c r="EV6" s="1" t="s">
        <v>148</v>
      </c>
      <c r="EW6" s="1" t="s">
        <v>149</v>
      </c>
      <c r="EX6" s="1" t="s">
        <v>150</v>
      </c>
      <c r="EY6" s="6" t="s">
        <v>151</v>
      </c>
    </row>
    <row r="7" spans="1:155" ht="23.25" customHeight="1" thickBot="1" x14ac:dyDescent="0.3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159</v>
      </c>
      <c r="I7" s="1" t="s">
        <v>160</v>
      </c>
      <c r="J7" s="1" t="s">
        <v>161</v>
      </c>
      <c r="K7" s="1" t="s">
        <v>162</v>
      </c>
      <c r="L7" s="1" t="s">
        <v>163</v>
      </c>
      <c r="M7" s="1" t="s">
        <v>164</v>
      </c>
      <c r="N7" s="1" t="s">
        <v>165</v>
      </c>
      <c r="O7" s="1" t="s">
        <v>166</v>
      </c>
      <c r="P7" s="1" t="s">
        <v>167</v>
      </c>
      <c r="Q7" s="1" t="s">
        <v>168</v>
      </c>
      <c r="R7" s="1" t="s">
        <v>169</v>
      </c>
      <c r="S7" s="1" t="s">
        <v>170</v>
      </c>
      <c r="T7" s="1" t="s">
        <v>171</v>
      </c>
      <c r="U7" s="1" t="s">
        <v>172</v>
      </c>
      <c r="V7" s="1" t="s">
        <v>173</v>
      </c>
      <c r="W7" s="1" t="s">
        <v>174</v>
      </c>
      <c r="X7" s="1" t="s">
        <v>175</v>
      </c>
      <c r="Y7" s="1" t="s">
        <v>176</v>
      </c>
      <c r="Z7" s="1" t="s">
        <v>177</v>
      </c>
      <c r="AA7" s="1" t="s">
        <v>178</v>
      </c>
      <c r="AB7" s="1" t="s">
        <v>179</v>
      </c>
      <c r="AC7" s="1" t="s">
        <v>180</v>
      </c>
      <c r="AD7" s="1" t="s">
        <v>181</v>
      </c>
      <c r="AE7" s="1" t="s">
        <v>182</v>
      </c>
      <c r="AF7" s="1" t="s">
        <v>183</v>
      </c>
      <c r="AG7" s="1" t="s">
        <v>183</v>
      </c>
      <c r="AH7" s="1" t="s">
        <v>184</v>
      </c>
      <c r="AI7" s="1" t="s">
        <v>185</v>
      </c>
      <c r="AJ7" s="1" t="s">
        <v>186</v>
      </c>
      <c r="AK7" s="1" t="s">
        <v>187</v>
      </c>
      <c r="AL7" s="1" t="s">
        <v>188</v>
      </c>
      <c r="AM7" s="1" t="s">
        <v>189</v>
      </c>
      <c r="AN7" s="1" t="s">
        <v>190</v>
      </c>
      <c r="AO7" s="1" t="s">
        <v>191</v>
      </c>
      <c r="AP7" s="1" t="s">
        <v>192</v>
      </c>
      <c r="AQ7" s="1" t="s">
        <v>193</v>
      </c>
      <c r="AR7" s="1" t="s">
        <v>194</v>
      </c>
      <c r="AS7" s="1" t="s">
        <v>195</v>
      </c>
      <c r="AT7" s="1" t="s">
        <v>196</v>
      </c>
      <c r="AU7" s="1" t="s">
        <v>197</v>
      </c>
      <c r="AV7" s="1" t="s">
        <v>198</v>
      </c>
      <c r="AW7" s="1" t="s">
        <v>199</v>
      </c>
      <c r="AX7" s="1" t="s">
        <v>200</v>
      </c>
      <c r="AY7" s="1" t="s">
        <v>201</v>
      </c>
      <c r="AZ7" s="1" t="s">
        <v>56</v>
      </c>
      <c r="BA7" s="1" t="s">
        <v>202</v>
      </c>
      <c r="BB7" s="1" t="s">
        <v>203</v>
      </c>
      <c r="BC7" s="1" t="s">
        <v>204</v>
      </c>
      <c r="BD7" s="1" t="s">
        <v>205</v>
      </c>
      <c r="BE7" s="1" t="s">
        <v>206</v>
      </c>
      <c r="BF7" s="1" t="s">
        <v>207</v>
      </c>
      <c r="BG7" s="1" t="s">
        <v>208</v>
      </c>
      <c r="BH7" s="1" t="s">
        <v>209</v>
      </c>
      <c r="BI7" s="1" t="s">
        <v>210</v>
      </c>
      <c r="BJ7" s="1" t="s">
        <v>211</v>
      </c>
      <c r="BK7" s="1" t="s">
        <v>212</v>
      </c>
      <c r="BL7" s="1" t="s">
        <v>213</v>
      </c>
      <c r="BM7" s="1" t="s">
        <v>214</v>
      </c>
      <c r="BN7" s="1" t="s">
        <v>215</v>
      </c>
      <c r="BO7" s="1" t="s">
        <v>216</v>
      </c>
      <c r="BP7" s="1" t="s">
        <v>217</v>
      </c>
      <c r="BQ7" s="1" t="s">
        <v>218</v>
      </c>
      <c r="BR7" s="1" t="s">
        <v>219</v>
      </c>
      <c r="BS7" s="1" t="s">
        <v>220</v>
      </c>
      <c r="BT7" s="1" t="s">
        <v>221</v>
      </c>
      <c r="BU7" s="1" t="s">
        <v>222</v>
      </c>
      <c r="BV7" s="1" t="s">
        <v>223</v>
      </c>
      <c r="BW7" s="1" t="s">
        <v>224</v>
      </c>
      <c r="BX7" s="1" t="s">
        <v>225</v>
      </c>
      <c r="BY7" s="1" t="s">
        <v>226</v>
      </c>
      <c r="BZ7" s="1" t="s">
        <v>227</v>
      </c>
      <c r="CA7" s="1" t="s">
        <v>228</v>
      </c>
      <c r="CB7" s="1" t="s">
        <v>229</v>
      </c>
      <c r="CC7" s="1" t="s">
        <v>230</v>
      </c>
      <c r="CD7" s="1" t="s">
        <v>86</v>
      </c>
      <c r="CE7" s="1" t="s">
        <v>231</v>
      </c>
      <c r="CF7" s="1" t="s">
        <v>232</v>
      </c>
      <c r="CG7" s="1" t="s">
        <v>233</v>
      </c>
      <c r="CH7" s="1" t="s">
        <v>234</v>
      </c>
      <c r="CI7" s="1" t="s">
        <v>91</v>
      </c>
      <c r="CJ7" s="1" t="s">
        <v>235</v>
      </c>
      <c r="CK7" s="1" t="s">
        <v>236</v>
      </c>
      <c r="CL7" s="1" t="s">
        <v>237</v>
      </c>
      <c r="CM7" s="1" t="s">
        <v>238</v>
      </c>
      <c r="CN7" s="1" t="s">
        <v>239</v>
      </c>
      <c r="CO7" s="1" t="s">
        <v>240</v>
      </c>
      <c r="CP7" s="1" t="s">
        <v>241</v>
      </c>
      <c r="CQ7" s="1" t="s">
        <v>242</v>
      </c>
      <c r="CR7" s="1" t="s">
        <v>243</v>
      </c>
      <c r="CS7" s="1" t="s">
        <v>244</v>
      </c>
      <c r="CT7" s="1" t="s">
        <v>245</v>
      </c>
      <c r="CU7" s="1" t="s">
        <v>246</v>
      </c>
      <c r="CV7" s="1" t="s">
        <v>247</v>
      </c>
      <c r="CW7" s="1" t="s">
        <v>248</v>
      </c>
      <c r="CX7" s="1" t="s">
        <v>249</v>
      </c>
      <c r="CY7" s="1" t="s">
        <v>250</v>
      </c>
      <c r="CZ7" s="1" t="s">
        <v>251</v>
      </c>
      <c r="DA7" s="1" t="s">
        <v>252</v>
      </c>
      <c r="DB7" s="1" t="s">
        <v>253</v>
      </c>
      <c r="DC7" s="1" t="s">
        <v>254</v>
      </c>
      <c r="DD7" s="1" t="s">
        <v>255</v>
      </c>
      <c r="DE7" s="1" t="s">
        <v>256</v>
      </c>
      <c r="DF7" s="1" t="s">
        <v>257</v>
      </c>
      <c r="DG7" s="1" t="s">
        <v>258</v>
      </c>
      <c r="DH7" s="1" t="s">
        <v>259</v>
      </c>
      <c r="DI7" s="1" t="s">
        <v>260</v>
      </c>
      <c r="DJ7" s="1" t="s">
        <v>261</v>
      </c>
      <c r="DK7" s="1" t="s">
        <v>262</v>
      </c>
      <c r="DL7" s="1" t="s">
        <v>263</v>
      </c>
      <c r="DM7" s="1" t="s">
        <v>264</v>
      </c>
      <c r="DN7" s="1" t="s">
        <v>265</v>
      </c>
      <c r="DO7" s="1" t="s">
        <v>266</v>
      </c>
      <c r="DP7" s="1" t="s">
        <v>267</v>
      </c>
      <c r="DQ7" s="1" t="s">
        <v>268</v>
      </c>
      <c r="DR7" s="1" t="s">
        <v>269</v>
      </c>
      <c r="DS7" s="1" t="s">
        <v>270</v>
      </c>
      <c r="DT7" s="1" t="s">
        <v>271</v>
      </c>
      <c r="DU7" s="1" t="s">
        <v>272</v>
      </c>
      <c r="DV7" s="1" t="s">
        <v>273</v>
      </c>
      <c r="DW7" s="1" t="s">
        <v>274</v>
      </c>
      <c r="DX7" s="1" t="s">
        <v>275</v>
      </c>
      <c r="DY7" s="1" t="s">
        <v>276</v>
      </c>
      <c r="DZ7" s="1" t="s">
        <v>277</v>
      </c>
      <c r="EA7" s="1" t="s">
        <v>278</v>
      </c>
      <c r="EB7" s="1" t="s">
        <v>279</v>
      </c>
      <c r="EC7" s="1" t="s">
        <v>280</v>
      </c>
      <c r="ED7" s="1" t="s">
        <v>280</v>
      </c>
      <c r="EE7" s="1" t="s">
        <v>280</v>
      </c>
      <c r="EF7" s="1" t="s">
        <v>138</v>
      </c>
      <c r="EG7" s="1" t="s">
        <v>139</v>
      </c>
      <c r="EH7" s="1" t="s">
        <v>281</v>
      </c>
      <c r="EI7" s="1" t="s">
        <v>282</v>
      </c>
      <c r="EJ7" s="1" t="s">
        <v>282</v>
      </c>
      <c r="EK7" s="1" t="s">
        <v>142</v>
      </c>
      <c r="EL7" s="1" t="s">
        <v>142</v>
      </c>
      <c r="EM7" s="1" t="s">
        <v>138</v>
      </c>
      <c r="EN7" s="1" t="s">
        <v>283</v>
      </c>
      <c r="EO7" s="1" t="s">
        <v>138</v>
      </c>
      <c r="EP7" s="1" t="s">
        <v>144</v>
      </c>
      <c r="EQ7" s="1" t="s">
        <v>284</v>
      </c>
      <c r="ER7" s="1" t="s">
        <v>285</v>
      </c>
      <c r="ES7" s="1" t="s">
        <v>286</v>
      </c>
      <c r="ET7" s="1" t="s">
        <v>286</v>
      </c>
      <c r="EU7" s="1" t="s">
        <v>148</v>
      </c>
      <c r="EV7" s="1" t="s">
        <v>148</v>
      </c>
      <c r="EW7" s="1" t="s">
        <v>287</v>
      </c>
      <c r="EX7" s="1" t="s">
        <v>288</v>
      </c>
      <c r="EY7" s="6" t="s">
        <v>289</v>
      </c>
    </row>
    <row r="8" spans="1:155" ht="21.75" customHeight="1" thickBot="1" x14ac:dyDescent="0.3">
      <c r="A8" s="1" t="s">
        <v>290</v>
      </c>
      <c r="B8" s="1" t="s">
        <v>291</v>
      </c>
      <c r="C8" s="1" t="s">
        <v>292</v>
      </c>
      <c r="D8" s="1" t="s">
        <v>291</v>
      </c>
      <c r="E8" s="1" t="s">
        <v>292</v>
      </c>
      <c r="F8" s="1" t="s">
        <v>293</v>
      </c>
      <c r="G8" s="1" t="s">
        <v>293</v>
      </c>
      <c r="H8" s="1" t="s">
        <v>291</v>
      </c>
      <c r="I8" s="1" t="s">
        <v>293</v>
      </c>
      <c r="J8" s="1" t="s">
        <v>293</v>
      </c>
      <c r="K8" s="1" t="s">
        <v>294</v>
      </c>
      <c r="L8" s="1" t="s">
        <v>294</v>
      </c>
      <c r="M8" s="1" t="s">
        <v>294</v>
      </c>
      <c r="N8" s="1" t="s">
        <v>294</v>
      </c>
      <c r="O8" s="1" t="s">
        <v>294</v>
      </c>
      <c r="P8" s="1" t="s">
        <v>294</v>
      </c>
      <c r="Q8" s="1" t="s">
        <v>294</v>
      </c>
      <c r="R8" s="1" t="s">
        <v>294</v>
      </c>
      <c r="S8" s="1" t="s">
        <v>293</v>
      </c>
      <c r="T8" s="1" t="s">
        <v>293</v>
      </c>
      <c r="U8" s="1" t="s">
        <v>294</v>
      </c>
      <c r="V8" s="1" t="s">
        <v>294</v>
      </c>
      <c r="W8" s="1" t="s">
        <v>292</v>
      </c>
      <c r="X8" s="1" t="s">
        <v>292</v>
      </c>
      <c r="Y8" s="1" t="s">
        <v>291</v>
      </c>
      <c r="Z8" s="1" t="s">
        <v>292</v>
      </c>
      <c r="AA8" s="1" t="s">
        <v>294</v>
      </c>
      <c r="AB8" s="1" t="s">
        <v>293</v>
      </c>
      <c r="AC8" s="1" t="s">
        <v>294</v>
      </c>
      <c r="AD8" s="1" t="s">
        <v>293</v>
      </c>
      <c r="AE8" s="1" t="s">
        <v>295</v>
      </c>
      <c r="AF8" s="1" t="s">
        <v>295</v>
      </c>
      <c r="AG8" s="1" t="s">
        <v>295</v>
      </c>
      <c r="AH8" s="1" t="s">
        <v>295</v>
      </c>
      <c r="AI8" s="1" t="s">
        <v>292</v>
      </c>
      <c r="AJ8" s="1" t="s">
        <v>291</v>
      </c>
      <c r="AK8" s="1" t="s">
        <v>293</v>
      </c>
      <c r="AL8" s="1" t="s">
        <v>293</v>
      </c>
      <c r="AM8" s="1" t="s">
        <v>292</v>
      </c>
      <c r="AN8" s="1" t="s">
        <v>293</v>
      </c>
      <c r="AO8" s="1" t="s">
        <v>294</v>
      </c>
      <c r="AP8" s="1" t="s">
        <v>293</v>
      </c>
      <c r="AQ8" s="1" t="s">
        <v>294</v>
      </c>
      <c r="AR8" s="1" t="s">
        <v>294</v>
      </c>
      <c r="AS8" s="1" t="s">
        <v>293</v>
      </c>
      <c r="AT8" s="1" t="s">
        <v>292</v>
      </c>
      <c r="AU8" s="1" t="s">
        <v>292</v>
      </c>
      <c r="AV8" s="1" t="s">
        <v>292</v>
      </c>
      <c r="AW8" s="1" t="s">
        <v>293</v>
      </c>
      <c r="AX8" s="1" t="s">
        <v>292</v>
      </c>
      <c r="AY8" s="1" t="s">
        <v>291</v>
      </c>
      <c r="AZ8" s="1" t="s">
        <v>296</v>
      </c>
      <c r="BA8" s="1" t="s">
        <v>295</v>
      </c>
      <c r="BB8" s="1" t="s">
        <v>295</v>
      </c>
      <c r="BC8" s="1" t="s">
        <v>293</v>
      </c>
      <c r="BD8" s="1" t="s">
        <v>294</v>
      </c>
      <c r="BE8" s="1" t="s">
        <v>293</v>
      </c>
      <c r="BF8" s="1" t="s">
        <v>292</v>
      </c>
      <c r="BG8" s="1" t="s">
        <v>293</v>
      </c>
      <c r="BH8" s="1" t="s">
        <v>293</v>
      </c>
      <c r="BI8" s="1" t="s">
        <v>292</v>
      </c>
      <c r="BJ8" s="1" t="s">
        <v>294</v>
      </c>
      <c r="BK8" s="1" t="s">
        <v>294</v>
      </c>
      <c r="BL8" s="1" t="s">
        <v>294</v>
      </c>
      <c r="BM8" s="1" t="s">
        <v>292</v>
      </c>
      <c r="BN8" s="1" t="s">
        <v>291</v>
      </c>
      <c r="BO8" s="1" t="s">
        <v>291</v>
      </c>
      <c r="BP8" s="1" t="s">
        <v>291</v>
      </c>
      <c r="BQ8" s="1" t="s">
        <v>291</v>
      </c>
      <c r="BR8" s="1" t="s">
        <v>293</v>
      </c>
      <c r="BS8" s="1" t="s">
        <v>292</v>
      </c>
      <c r="BT8" s="1" t="s">
        <v>295</v>
      </c>
      <c r="BU8" s="1" t="s">
        <v>295</v>
      </c>
      <c r="BV8" s="1" t="s">
        <v>295</v>
      </c>
      <c r="BW8" s="1" t="s">
        <v>297</v>
      </c>
      <c r="BX8" s="1" t="s">
        <v>295</v>
      </c>
      <c r="BY8" s="1" t="s">
        <v>291</v>
      </c>
      <c r="BZ8" s="1" t="s">
        <v>293</v>
      </c>
      <c r="CA8" s="1" t="s">
        <v>291</v>
      </c>
      <c r="CB8" s="1" t="s">
        <v>291</v>
      </c>
      <c r="CC8" s="1" t="s">
        <v>292</v>
      </c>
      <c r="CD8" s="1" t="s">
        <v>296</v>
      </c>
      <c r="CE8" s="1" t="s">
        <v>297</v>
      </c>
      <c r="CF8" s="1" t="s">
        <v>297</v>
      </c>
      <c r="CG8" s="1" t="s">
        <v>295</v>
      </c>
      <c r="CH8" s="1" t="s">
        <v>297</v>
      </c>
      <c r="CI8" s="1" t="s">
        <v>296</v>
      </c>
      <c r="CJ8" s="1" t="s">
        <v>297</v>
      </c>
      <c r="CK8" s="1" t="s">
        <v>291</v>
      </c>
      <c r="CL8" s="1" t="s">
        <v>293</v>
      </c>
      <c r="CM8" s="1" t="s">
        <v>295</v>
      </c>
      <c r="CN8" s="1" t="s">
        <v>291</v>
      </c>
      <c r="CO8" s="1" t="s">
        <v>293</v>
      </c>
      <c r="CP8" s="1" t="s">
        <v>293</v>
      </c>
      <c r="CQ8" s="1" t="s">
        <v>291</v>
      </c>
      <c r="CR8" s="1" t="s">
        <v>298</v>
      </c>
      <c r="CS8" s="1" t="s">
        <v>298</v>
      </c>
      <c r="CT8" s="1" t="s">
        <v>297</v>
      </c>
      <c r="CU8" s="1" t="s">
        <v>292</v>
      </c>
      <c r="CV8" s="1" t="s">
        <v>295</v>
      </c>
      <c r="CW8" s="1" t="s">
        <v>295</v>
      </c>
      <c r="CX8" s="1" t="s">
        <v>297</v>
      </c>
      <c r="CY8" s="1" t="s">
        <v>291</v>
      </c>
      <c r="CZ8" s="1" t="s">
        <v>293</v>
      </c>
      <c r="DA8" s="1" t="s">
        <v>291</v>
      </c>
      <c r="DB8" s="1" t="s">
        <v>291</v>
      </c>
      <c r="DC8" s="1" t="s">
        <v>293</v>
      </c>
      <c r="DD8" s="1" t="s">
        <v>292</v>
      </c>
      <c r="DE8" s="1" t="s">
        <v>291</v>
      </c>
      <c r="DF8" s="1" t="s">
        <v>291</v>
      </c>
      <c r="DG8" s="1" t="s">
        <v>297</v>
      </c>
      <c r="DH8" s="1" t="s">
        <v>291</v>
      </c>
      <c r="DI8" s="1" t="s">
        <v>292</v>
      </c>
      <c r="DJ8" s="1" t="s">
        <v>297</v>
      </c>
      <c r="DK8" s="1" t="s">
        <v>291</v>
      </c>
      <c r="DL8" s="1" t="s">
        <v>291</v>
      </c>
      <c r="DM8" s="1" t="s">
        <v>291</v>
      </c>
      <c r="DN8" s="1" t="s">
        <v>291</v>
      </c>
      <c r="DO8" s="1" t="s">
        <v>291</v>
      </c>
      <c r="DP8" s="1" t="s">
        <v>295</v>
      </c>
      <c r="DQ8" s="1" t="s">
        <v>297</v>
      </c>
      <c r="DR8" s="1" t="s">
        <v>298</v>
      </c>
      <c r="DS8" s="1" t="s">
        <v>297</v>
      </c>
      <c r="DT8" s="1" t="s">
        <v>297</v>
      </c>
      <c r="DU8" s="1" t="s">
        <v>295</v>
      </c>
      <c r="DV8" s="1" t="s">
        <v>291</v>
      </c>
      <c r="DW8" s="1" t="s">
        <v>293</v>
      </c>
      <c r="DX8" s="1" t="s">
        <v>291</v>
      </c>
      <c r="DY8" s="1" t="s">
        <v>298</v>
      </c>
      <c r="DZ8" s="1" t="s">
        <v>295</v>
      </c>
      <c r="EA8" s="1" t="s">
        <v>291</v>
      </c>
      <c r="EB8" s="1" t="s">
        <v>291</v>
      </c>
      <c r="EC8" s="1" t="s">
        <v>298</v>
      </c>
      <c r="ED8" s="1" t="s">
        <v>298</v>
      </c>
      <c r="EE8" s="1" t="s">
        <v>298</v>
      </c>
      <c r="EF8" s="1" t="s">
        <v>299</v>
      </c>
      <c r="EG8" s="1" t="s">
        <v>296</v>
      </c>
      <c r="EH8" s="1" t="s">
        <v>298</v>
      </c>
      <c r="EI8" s="1" t="s">
        <v>298</v>
      </c>
      <c r="EJ8" s="1" t="s">
        <v>298</v>
      </c>
      <c r="EK8" s="1" t="s">
        <v>296</v>
      </c>
      <c r="EL8" s="1" t="s">
        <v>296</v>
      </c>
      <c r="EM8" s="1" t="s">
        <v>299</v>
      </c>
      <c r="EN8" s="1" t="s">
        <v>296</v>
      </c>
      <c r="EO8" s="1" t="s">
        <v>299</v>
      </c>
      <c r="EP8" s="1" t="s">
        <v>296</v>
      </c>
      <c r="EQ8" s="1" t="s">
        <v>298</v>
      </c>
      <c r="ER8" s="1" t="s">
        <v>295</v>
      </c>
      <c r="ES8" s="1" t="s">
        <v>298</v>
      </c>
      <c r="ET8" s="1" t="s">
        <v>298</v>
      </c>
      <c r="EU8" s="1" t="s">
        <v>296</v>
      </c>
      <c r="EV8" s="1" t="s">
        <v>296</v>
      </c>
      <c r="EW8" s="1" t="s">
        <v>297</v>
      </c>
      <c r="EX8" s="1" t="s">
        <v>295</v>
      </c>
      <c r="EY8" s="6" t="s">
        <v>300</v>
      </c>
    </row>
    <row r="9" spans="1:155" ht="24" customHeight="1" thickBot="1" x14ac:dyDescent="0.3">
      <c r="A9" s="1" t="s">
        <v>301</v>
      </c>
      <c r="B9" s="1" t="s">
        <v>291</v>
      </c>
      <c r="C9" s="1" t="s">
        <v>292</v>
      </c>
      <c r="D9" s="1" t="s">
        <v>291</v>
      </c>
      <c r="E9" s="1" t="s">
        <v>292</v>
      </c>
      <c r="F9" s="1" t="s">
        <v>293</v>
      </c>
      <c r="G9" s="1" t="s">
        <v>293</v>
      </c>
      <c r="H9" s="1" t="s">
        <v>291</v>
      </c>
      <c r="I9" s="1" t="s">
        <v>293</v>
      </c>
      <c r="J9" s="1" t="s">
        <v>293</v>
      </c>
      <c r="K9" s="1" t="s">
        <v>294</v>
      </c>
      <c r="L9" s="1" t="s">
        <v>294</v>
      </c>
      <c r="M9" s="1" t="s">
        <v>294</v>
      </c>
      <c r="N9" s="1" t="s">
        <v>294</v>
      </c>
      <c r="O9" s="1" t="s">
        <v>294</v>
      </c>
      <c r="P9" s="1" t="s">
        <v>294</v>
      </c>
      <c r="Q9" s="1" t="s">
        <v>294</v>
      </c>
      <c r="R9" s="1" t="s">
        <v>294</v>
      </c>
      <c r="S9" s="1" t="s">
        <v>293</v>
      </c>
      <c r="T9" s="1" t="s">
        <v>293</v>
      </c>
      <c r="U9" s="1" t="s">
        <v>294</v>
      </c>
      <c r="V9" s="1" t="s">
        <v>294</v>
      </c>
      <c r="W9" s="1" t="s">
        <v>292</v>
      </c>
      <c r="X9" s="1" t="s">
        <v>292</v>
      </c>
      <c r="Y9" s="1" t="s">
        <v>291</v>
      </c>
      <c r="Z9" s="1" t="s">
        <v>292</v>
      </c>
      <c r="AA9" s="1" t="s">
        <v>294</v>
      </c>
      <c r="AB9" s="1" t="s">
        <v>293</v>
      </c>
      <c r="AC9" s="1" t="s">
        <v>294</v>
      </c>
      <c r="AD9" s="1" t="s">
        <v>293</v>
      </c>
      <c r="AE9" s="1" t="s">
        <v>295</v>
      </c>
      <c r="AF9" s="1" t="s">
        <v>295</v>
      </c>
      <c r="AG9" s="1" t="s">
        <v>295</v>
      </c>
      <c r="AH9" s="1" t="s">
        <v>295</v>
      </c>
      <c r="AI9" s="1" t="s">
        <v>292</v>
      </c>
      <c r="AJ9" s="1" t="s">
        <v>291</v>
      </c>
      <c r="AK9" s="1" t="s">
        <v>293</v>
      </c>
      <c r="AL9" s="1" t="s">
        <v>293</v>
      </c>
      <c r="AM9" s="1" t="s">
        <v>292</v>
      </c>
      <c r="AN9" s="1" t="s">
        <v>293</v>
      </c>
      <c r="AO9" s="1" t="s">
        <v>294</v>
      </c>
      <c r="AP9" s="1" t="s">
        <v>293</v>
      </c>
      <c r="AQ9" s="1" t="s">
        <v>294</v>
      </c>
      <c r="AR9" s="1" t="s">
        <v>294</v>
      </c>
      <c r="AS9" s="1" t="s">
        <v>293</v>
      </c>
      <c r="AT9" s="1" t="s">
        <v>292</v>
      </c>
      <c r="AU9" s="1" t="s">
        <v>292</v>
      </c>
      <c r="AV9" s="1" t="s">
        <v>292</v>
      </c>
      <c r="AW9" s="1" t="s">
        <v>293</v>
      </c>
      <c r="AX9" s="1" t="s">
        <v>292</v>
      </c>
      <c r="AY9" s="1" t="s">
        <v>291</v>
      </c>
      <c r="AZ9" s="1" t="s">
        <v>296</v>
      </c>
      <c r="BA9" s="1" t="s">
        <v>295</v>
      </c>
      <c r="BB9" s="1" t="s">
        <v>295</v>
      </c>
      <c r="BC9" s="1" t="s">
        <v>293</v>
      </c>
      <c r="BD9" s="1" t="s">
        <v>294</v>
      </c>
      <c r="BE9" s="1" t="s">
        <v>293</v>
      </c>
      <c r="BF9" s="1" t="s">
        <v>292</v>
      </c>
      <c r="BG9" s="1" t="s">
        <v>293</v>
      </c>
      <c r="BH9" s="1" t="s">
        <v>293</v>
      </c>
      <c r="BI9" s="1" t="s">
        <v>292</v>
      </c>
      <c r="BJ9" s="1" t="s">
        <v>294</v>
      </c>
      <c r="BK9" s="1" t="s">
        <v>294</v>
      </c>
      <c r="BL9" s="1" t="s">
        <v>294</v>
      </c>
      <c r="BM9" s="1" t="s">
        <v>292</v>
      </c>
      <c r="BN9" s="1" t="s">
        <v>291</v>
      </c>
      <c r="BO9" s="1" t="s">
        <v>291</v>
      </c>
      <c r="BP9" s="1" t="s">
        <v>291</v>
      </c>
      <c r="BQ9" s="1" t="s">
        <v>291</v>
      </c>
      <c r="BR9" s="1" t="s">
        <v>293</v>
      </c>
      <c r="BS9" s="1" t="s">
        <v>292</v>
      </c>
      <c r="BT9" s="1" t="s">
        <v>295</v>
      </c>
      <c r="BU9" s="1" t="s">
        <v>295</v>
      </c>
      <c r="BV9" s="1" t="s">
        <v>295</v>
      </c>
      <c r="BW9" s="1" t="s">
        <v>297</v>
      </c>
      <c r="BX9" s="1" t="s">
        <v>291</v>
      </c>
      <c r="BY9" s="1" t="s">
        <v>291</v>
      </c>
      <c r="BZ9" s="1" t="s">
        <v>294</v>
      </c>
      <c r="CA9" s="1" t="s">
        <v>291</v>
      </c>
      <c r="CB9" s="1" t="s">
        <v>291</v>
      </c>
      <c r="CC9" s="1" t="s">
        <v>292</v>
      </c>
      <c r="CD9" s="1" t="s">
        <v>296</v>
      </c>
      <c r="CE9" s="1" t="s">
        <v>291</v>
      </c>
      <c r="CF9" s="1" t="s">
        <v>291</v>
      </c>
      <c r="CG9" s="1" t="s">
        <v>292</v>
      </c>
      <c r="CH9" s="1" t="s">
        <v>297</v>
      </c>
      <c r="CI9" s="1" t="s">
        <v>296</v>
      </c>
      <c r="CJ9" s="1" t="s">
        <v>297</v>
      </c>
      <c r="CK9" s="1" t="s">
        <v>291</v>
      </c>
      <c r="CL9" s="1" t="s">
        <v>293</v>
      </c>
      <c r="CM9" s="1" t="s">
        <v>295</v>
      </c>
      <c r="CN9" s="1" t="s">
        <v>291</v>
      </c>
      <c r="CO9" s="1" t="s">
        <v>293</v>
      </c>
      <c r="CP9" s="1" t="s">
        <v>293</v>
      </c>
      <c r="CQ9" s="1" t="s">
        <v>291</v>
      </c>
      <c r="CR9" s="1" t="s">
        <v>298</v>
      </c>
      <c r="CS9" s="1" t="s">
        <v>298</v>
      </c>
      <c r="CT9" s="1" t="s">
        <v>297</v>
      </c>
      <c r="CU9" s="1" t="s">
        <v>292</v>
      </c>
      <c r="CV9" s="1" t="s">
        <v>295</v>
      </c>
      <c r="CW9" s="1" t="s">
        <v>291</v>
      </c>
      <c r="CX9" s="1" t="s">
        <v>297</v>
      </c>
      <c r="CY9" s="1" t="s">
        <v>291</v>
      </c>
      <c r="CZ9" s="1" t="s">
        <v>293</v>
      </c>
      <c r="DA9" s="1" t="s">
        <v>291</v>
      </c>
      <c r="DB9" s="1" t="s">
        <v>291</v>
      </c>
      <c r="DC9" s="1" t="s">
        <v>293</v>
      </c>
      <c r="DD9" s="1" t="s">
        <v>292</v>
      </c>
      <c r="DE9" s="1" t="s">
        <v>292</v>
      </c>
      <c r="DF9" s="1" t="s">
        <v>292</v>
      </c>
      <c r="DG9" s="1" t="s">
        <v>297</v>
      </c>
      <c r="DH9" s="1" t="s">
        <v>291</v>
      </c>
      <c r="DI9" s="1" t="s">
        <v>292</v>
      </c>
      <c r="DJ9" s="1" t="s">
        <v>297</v>
      </c>
      <c r="DK9" s="1" t="s">
        <v>291</v>
      </c>
      <c r="DL9" s="1" t="s">
        <v>291</v>
      </c>
      <c r="DM9" s="1" t="s">
        <v>291</v>
      </c>
      <c r="DN9" s="1" t="s">
        <v>291</v>
      </c>
      <c r="DO9" s="1" t="s">
        <v>292</v>
      </c>
      <c r="DP9" s="1" t="s">
        <v>291</v>
      </c>
      <c r="DQ9" s="1" t="s">
        <v>297</v>
      </c>
      <c r="DR9" s="1" t="s">
        <v>298</v>
      </c>
      <c r="DS9" s="1" t="s">
        <v>297</v>
      </c>
      <c r="DT9" s="1" t="s">
        <v>297</v>
      </c>
      <c r="DU9" s="1" t="s">
        <v>295</v>
      </c>
      <c r="DV9" s="1" t="s">
        <v>291</v>
      </c>
      <c r="DW9" s="1" t="s">
        <v>294</v>
      </c>
      <c r="DX9" s="1" t="s">
        <v>291</v>
      </c>
      <c r="DY9" s="1" t="s">
        <v>298</v>
      </c>
      <c r="DZ9" s="1" t="s">
        <v>295</v>
      </c>
      <c r="EA9" s="1" t="s">
        <v>291</v>
      </c>
      <c r="EB9" s="1" t="s">
        <v>291</v>
      </c>
      <c r="EC9" s="1" t="s">
        <v>298</v>
      </c>
      <c r="ED9" s="1" t="s">
        <v>298</v>
      </c>
      <c r="EE9" s="1" t="s">
        <v>298</v>
      </c>
      <c r="EF9" s="1" t="s">
        <v>299</v>
      </c>
      <c r="EG9" s="1" t="s">
        <v>296</v>
      </c>
      <c r="EH9" s="1" t="s">
        <v>298</v>
      </c>
      <c r="EI9" s="1" t="s">
        <v>298</v>
      </c>
      <c r="EJ9" s="1" t="s">
        <v>298</v>
      </c>
      <c r="EK9" s="1" t="s">
        <v>296</v>
      </c>
      <c r="EL9" s="1" t="s">
        <v>296</v>
      </c>
      <c r="EM9" s="1" t="s">
        <v>296</v>
      </c>
      <c r="EN9" s="1" t="s">
        <v>298</v>
      </c>
      <c r="EO9" s="1" t="s">
        <v>296</v>
      </c>
      <c r="EP9" s="1" t="s">
        <v>296</v>
      </c>
      <c r="EQ9" s="1" t="s">
        <v>298</v>
      </c>
      <c r="ER9" s="1" t="s">
        <v>295</v>
      </c>
      <c r="ES9" s="1" t="s">
        <v>298</v>
      </c>
      <c r="ET9" s="1" t="s">
        <v>298</v>
      </c>
      <c r="EU9" s="1" t="s">
        <v>296</v>
      </c>
      <c r="EV9" s="1" t="s">
        <v>296</v>
      </c>
      <c r="EW9" s="1" t="s">
        <v>295</v>
      </c>
      <c r="EX9" s="1" t="s">
        <v>291</v>
      </c>
      <c r="EY9" s="6" t="s">
        <v>302</v>
      </c>
    </row>
    <row r="13" spans="1:155" ht="15.75" thickBot="1" x14ac:dyDescent="0.3"/>
    <row r="14" spans="1:155" ht="32.25" customHeight="1" thickBot="1" x14ac:dyDescent="0.3">
      <c r="A14" s="88" t="s">
        <v>0</v>
      </c>
      <c r="B14" s="89"/>
      <c r="C14" s="90"/>
      <c r="D14" s="1"/>
      <c r="E14" s="1"/>
      <c r="F14" s="1"/>
      <c r="G14" s="1"/>
      <c r="H14" s="1"/>
      <c r="I14" s="1"/>
      <c r="J14" s="1"/>
    </row>
    <row r="15" spans="1:155" ht="26.25" thickBot="1" x14ac:dyDescent="0.3">
      <c r="A15" s="1" t="s">
        <v>303</v>
      </c>
      <c r="B15" s="1"/>
      <c r="C15" s="1"/>
      <c r="D15" s="1"/>
      <c r="E15" s="1"/>
      <c r="F15" s="1"/>
      <c r="G15" s="1"/>
      <c r="H15" s="1"/>
      <c r="I15" s="1"/>
      <c r="J15" s="1"/>
    </row>
    <row r="16" spans="1:155" ht="15.75" thickBot="1" x14ac:dyDescent="0.3">
      <c r="A16" s="1" t="s">
        <v>2</v>
      </c>
      <c r="B16" s="1"/>
      <c r="C16" s="1"/>
      <c r="D16" s="1"/>
      <c r="E16" s="1"/>
      <c r="F16" s="1"/>
      <c r="G16" s="1"/>
      <c r="H16" s="1"/>
      <c r="I16" s="6"/>
      <c r="J16" s="1"/>
    </row>
    <row r="17" spans="1:10" ht="15.75" thickBot="1" x14ac:dyDescent="0.3">
      <c r="A17" s="1" t="s">
        <v>3</v>
      </c>
      <c r="B17" s="1" t="s">
        <v>304</v>
      </c>
      <c r="C17" s="1" t="s">
        <v>305</v>
      </c>
      <c r="D17" s="1" t="s">
        <v>306</v>
      </c>
      <c r="E17" s="1" t="s">
        <v>307</v>
      </c>
      <c r="F17" s="1" t="s">
        <v>308</v>
      </c>
      <c r="G17" s="1" t="s">
        <v>309</v>
      </c>
      <c r="H17" s="1" t="s">
        <v>310</v>
      </c>
      <c r="I17" s="6" t="s">
        <v>4</v>
      </c>
      <c r="J17" s="1"/>
    </row>
    <row r="18" spans="1:10" ht="15.75" thickBot="1" x14ac:dyDescent="0.3">
      <c r="A18" s="1" t="s">
        <v>5</v>
      </c>
      <c r="B18" s="1">
        <v>195</v>
      </c>
      <c r="C18" s="1">
        <v>186</v>
      </c>
      <c r="D18" s="1">
        <v>154</v>
      </c>
      <c r="E18" s="1">
        <v>151</v>
      </c>
      <c r="F18" s="1">
        <v>77</v>
      </c>
      <c r="G18" s="1">
        <v>124</v>
      </c>
      <c r="H18" s="1">
        <v>158</v>
      </c>
      <c r="I18" s="6">
        <v>1045</v>
      </c>
      <c r="J18" s="1"/>
    </row>
    <row r="19" spans="1:10" ht="15.75" thickBot="1" x14ac:dyDescent="0.3">
      <c r="A19" s="1" t="s">
        <v>6</v>
      </c>
      <c r="B19" s="1" t="s">
        <v>311</v>
      </c>
      <c r="C19" s="1" t="s">
        <v>312</v>
      </c>
      <c r="D19" s="1" t="s">
        <v>313</v>
      </c>
      <c r="E19" s="1" t="s">
        <v>314</v>
      </c>
      <c r="F19" s="1" t="s">
        <v>315</v>
      </c>
      <c r="G19" s="1" t="s">
        <v>316</v>
      </c>
      <c r="H19" s="1" t="s">
        <v>317</v>
      </c>
      <c r="I19" s="6" t="s">
        <v>318</v>
      </c>
      <c r="J19" s="1"/>
    </row>
    <row r="20" spans="1:10" ht="26.25" thickBot="1" x14ac:dyDescent="0.3">
      <c r="A20" s="1" t="s">
        <v>152</v>
      </c>
      <c r="B20" s="1" t="s">
        <v>319</v>
      </c>
      <c r="C20" s="1" t="s">
        <v>320</v>
      </c>
      <c r="D20" s="1" t="s">
        <v>321</v>
      </c>
      <c r="E20" s="1" t="s">
        <v>322</v>
      </c>
      <c r="F20" s="1" t="s">
        <v>323</v>
      </c>
      <c r="G20" s="1" t="s">
        <v>324</v>
      </c>
      <c r="H20" s="1" t="s">
        <v>325</v>
      </c>
      <c r="I20" s="6" t="s">
        <v>326</v>
      </c>
      <c r="J20" s="1"/>
    </row>
    <row r="21" spans="1:10" ht="15.75" thickBot="1" x14ac:dyDescent="0.3">
      <c r="A21" s="1" t="s">
        <v>290</v>
      </c>
      <c r="B21" s="1" t="s">
        <v>327</v>
      </c>
      <c r="C21" s="1" t="s">
        <v>292</v>
      </c>
      <c r="D21" s="1" t="s">
        <v>328</v>
      </c>
      <c r="E21" s="1" t="s">
        <v>329</v>
      </c>
      <c r="F21" s="1" t="s">
        <v>330</v>
      </c>
      <c r="G21" s="1" t="s">
        <v>331</v>
      </c>
      <c r="H21" s="1" t="s">
        <v>332</v>
      </c>
      <c r="I21" s="6" t="s">
        <v>333</v>
      </c>
      <c r="J21" s="1"/>
    </row>
    <row r="22" spans="1:10" ht="15.75" thickBot="1" x14ac:dyDescent="0.3">
      <c r="A22" s="1" t="s">
        <v>301</v>
      </c>
      <c r="B22" s="1" t="s">
        <v>327</v>
      </c>
      <c r="C22" s="1" t="s">
        <v>292</v>
      </c>
      <c r="D22" s="1" t="s">
        <v>334</v>
      </c>
      <c r="E22" s="1" t="s">
        <v>335</v>
      </c>
      <c r="F22" s="1" t="s">
        <v>336</v>
      </c>
      <c r="G22" s="1" t="s">
        <v>295</v>
      </c>
      <c r="H22" s="1" t="s">
        <v>332</v>
      </c>
      <c r="I22" s="6" t="s">
        <v>337</v>
      </c>
      <c r="J22" s="1"/>
    </row>
    <row r="23" spans="1:10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3">
    <mergeCell ref="A1:C1"/>
    <mergeCell ref="A2:B2"/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A88F-FE00-4ECD-885E-A1D116E9EBC2}">
  <dimension ref="A1:I137"/>
  <sheetViews>
    <sheetView topLeftCell="A107" workbookViewId="0">
      <selection activeCell="D119" sqref="D119"/>
    </sheetView>
  </sheetViews>
  <sheetFormatPr baseColWidth="10" defaultRowHeight="15" x14ac:dyDescent="0.25"/>
  <cols>
    <col min="1" max="1" width="20.140625" customWidth="1"/>
    <col min="2" max="8" width="20.7109375" customWidth="1"/>
  </cols>
  <sheetData>
    <row r="1" spans="1:8" ht="26.25" customHeight="1" thickBot="1" x14ac:dyDescent="0.3">
      <c r="A1" s="94" t="s">
        <v>0</v>
      </c>
      <c r="B1" s="95"/>
      <c r="C1" s="1"/>
      <c r="D1" s="1"/>
      <c r="E1" s="1"/>
      <c r="F1" s="1"/>
      <c r="G1" s="1"/>
      <c r="H1" s="1"/>
    </row>
    <row r="2" spans="1:8" ht="39" customHeight="1" thickBot="1" x14ac:dyDescent="0.3">
      <c r="A2" s="94" t="s">
        <v>338</v>
      </c>
      <c r="B2" s="95"/>
      <c r="C2" s="1"/>
      <c r="D2" s="1"/>
      <c r="E2" s="1"/>
      <c r="F2" s="1"/>
      <c r="G2" s="1"/>
      <c r="H2" s="1"/>
    </row>
    <row r="3" spans="1:8" ht="26.25" customHeight="1" thickBot="1" x14ac:dyDescent="0.3">
      <c r="A3" s="94" t="s">
        <v>339</v>
      </c>
      <c r="B3" s="95"/>
      <c r="C3" s="1"/>
      <c r="D3" s="1"/>
      <c r="E3" s="1"/>
      <c r="F3" s="1"/>
      <c r="G3" s="1"/>
      <c r="H3" s="1"/>
    </row>
    <row r="4" spans="1:8" ht="39" customHeight="1" thickBot="1" x14ac:dyDescent="0.3">
      <c r="A4" s="96" t="s">
        <v>340</v>
      </c>
      <c r="B4" s="97"/>
      <c r="C4" s="7"/>
      <c r="D4" s="7"/>
      <c r="E4" s="7"/>
      <c r="F4" s="7"/>
      <c r="G4" s="7"/>
      <c r="H4" s="7"/>
    </row>
    <row r="5" spans="1:8" ht="26.25" thickBot="1" x14ac:dyDescent="0.3">
      <c r="A5" s="8"/>
      <c r="B5" s="9"/>
      <c r="C5" s="10" t="s">
        <v>341</v>
      </c>
      <c r="D5" s="10" t="s">
        <v>5</v>
      </c>
      <c r="E5" s="10" t="s">
        <v>342</v>
      </c>
      <c r="F5" s="10" t="s">
        <v>343</v>
      </c>
      <c r="G5" s="10" t="s">
        <v>344</v>
      </c>
      <c r="H5" s="10" t="s">
        <v>345</v>
      </c>
    </row>
    <row r="6" spans="1:8" ht="15.75" thickBot="1" x14ac:dyDescent="0.3">
      <c r="A6" s="8"/>
      <c r="B6" s="11" t="s">
        <v>346</v>
      </c>
      <c r="C6" s="12" t="s">
        <v>347</v>
      </c>
      <c r="D6" s="12">
        <v>792</v>
      </c>
      <c r="E6" s="12" t="s">
        <v>348</v>
      </c>
      <c r="F6" s="12" t="s">
        <v>349</v>
      </c>
      <c r="G6" s="12" t="s">
        <v>350</v>
      </c>
      <c r="H6" s="12" t="s">
        <v>351</v>
      </c>
    </row>
    <row r="7" spans="1:8" ht="15.75" thickBot="1" x14ac:dyDescent="0.3">
      <c r="A7" s="8"/>
      <c r="B7" s="91"/>
      <c r="C7" s="9" t="s">
        <v>352</v>
      </c>
      <c r="D7" s="9">
        <v>61</v>
      </c>
      <c r="E7" s="9" t="s">
        <v>353</v>
      </c>
      <c r="F7" s="9" t="s">
        <v>354</v>
      </c>
      <c r="G7" s="9" t="s">
        <v>355</v>
      </c>
      <c r="H7" s="9" t="s">
        <v>356</v>
      </c>
    </row>
    <row r="8" spans="1:8" ht="15.75" thickBot="1" x14ac:dyDescent="0.3">
      <c r="A8" s="8"/>
      <c r="B8" s="92"/>
      <c r="C8" s="9" t="s">
        <v>357</v>
      </c>
      <c r="D8" s="9">
        <v>19</v>
      </c>
      <c r="E8" s="9" t="s">
        <v>358</v>
      </c>
      <c r="F8" s="9" t="s">
        <v>359</v>
      </c>
      <c r="G8" s="9" t="s">
        <v>360</v>
      </c>
      <c r="H8" s="9" t="s">
        <v>361</v>
      </c>
    </row>
    <row r="9" spans="1:8" ht="15.75" thickBot="1" x14ac:dyDescent="0.3">
      <c r="A9" s="8"/>
      <c r="B9" s="92"/>
      <c r="C9" s="9" t="s">
        <v>362</v>
      </c>
      <c r="D9" s="9">
        <v>82</v>
      </c>
      <c r="E9" s="9" t="s">
        <v>363</v>
      </c>
      <c r="F9" s="9" t="s">
        <v>364</v>
      </c>
      <c r="G9" s="9">
        <v>2</v>
      </c>
      <c r="H9" s="9" t="s">
        <v>365</v>
      </c>
    </row>
    <row r="10" spans="1:8" ht="15.75" thickBot="1" x14ac:dyDescent="0.3">
      <c r="A10" s="8"/>
      <c r="B10" s="92"/>
      <c r="C10" s="9" t="s">
        <v>366</v>
      </c>
      <c r="D10" s="9">
        <v>18</v>
      </c>
      <c r="E10" s="9" t="s">
        <v>367</v>
      </c>
      <c r="F10" s="9" t="s">
        <v>368</v>
      </c>
      <c r="G10" s="9" t="s">
        <v>350</v>
      </c>
      <c r="H10" s="9" t="s">
        <v>369</v>
      </c>
    </row>
    <row r="11" spans="1:8" ht="15.75" thickBot="1" x14ac:dyDescent="0.3">
      <c r="A11" s="8"/>
      <c r="B11" s="92"/>
      <c r="C11" s="9" t="s">
        <v>370</v>
      </c>
      <c r="D11" s="9">
        <v>70</v>
      </c>
      <c r="E11" s="9" t="s">
        <v>371</v>
      </c>
      <c r="F11" s="9" t="s">
        <v>372</v>
      </c>
      <c r="G11" s="9" t="s">
        <v>373</v>
      </c>
      <c r="H11" s="9" t="s">
        <v>374</v>
      </c>
    </row>
    <row r="12" spans="1:8" ht="15.75" thickBot="1" x14ac:dyDescent="0.3">
      <c r="A12" s="8"/>
      <c r="B12" s="92"/>
      <c r="C12" s="9" t="s">
        <v>375</v>
      </c>
      <c r="D12" s="9">
        <v>107</v>
      </c>
      <c r="E12" s="9" t="s">
        <v>376</v>
      </c>
      <c r="F12" s="9" t="s">
        <v>377</v>
      </c>
      <c r="G12" s="9" t="s">
        <v>378</v>
      </c>
      <c r="H12" s="9" t="s">
        <v>379</v>
      </c>
    </row>
    <row r="13" spans="1:8" ht="15.75" thickBot="1" x14ac:dyDescent="0.3">
      <c r="A13" s="8"/>
      <c r="B13" s="92"/>
      <c r="C13" s="9" t="s">
        <v>380</v>
      </c>
      <c r="D13" s="9">
        <v>73</v>
      </c>
      <c r="E13" s="9" t="s">
        <v>381</v>
      </c>
      <c r="F13" s="9" t="s">
        <v>382</v>
      </c>
      <c r="G13" s="9" t="s">
        <v>383</v>
      </c>
      <c r="H13" s="9" t="s">
        <v>384</v>
      </c>
    </row>
    <row r="14" spans="1:8" ht="15.75" thickBot="1" x14ac:dyDescent="0.3">
      <c r="A14" s="8"/>
      <c r="B14" s="92"/>
      <c r="C14" s="9" t="s">
        <v>385</v>
      </c>
      <c r="D14" s="9">
        <v>66</v>
      </c>
      <c r="E14" s="9" t="s">
        <v>386</v>
      </c>
      <c r="F14" s="9" t="s">
        <v>387</v>
      </c>
      <c r="G14" s="9" t="s">
        <v>388</v>
      </c>
      <c r="H14" s="9" t="s">
        <v>389</v>
      </c>
    </row>
    <row r="15" spans="1:8" ht="15.75" thickBot="1" x14ac:dyDescent="0.3">
      <c r="A15" s="8"/>
      <c r="B15" s="92"/>
      <c r="C15" s="9" t="s">
        <v>390</v>
      </c>
      <c r="D15" s="9">
        <v>14</v>
      </c>
      <c r="E15" s="9" t="s">
        <v>391</v>
      </c>
      <c r="F15" s="9" t="s">
        <v>392</v>
      </c>
      <c r="G15" s="9" t="s">
        <v>393</v>
      </c>
      <c r="H15" s="9" t="s">
        <v>394</v>
      </c>
    </row>
    <row r="16" spans="1:8" ht="15.75" thickBot="1" x14ac:dyDescent="0.3">
      <c r="A16" s="8"/>
      <c r="B16" s="92"/>
      <c r="C16" s="9" t="s">
        <v>395</v>
      </c>
      <c r="D16" s="9">
        <v>8</v>
      </c>
      <c r="E16" s="9" t="s">
        <v>396</v>
      </c>
      <c r="F16" s="9" t="s">
        <v>397</v>
      </c>
      <c r="G16" s="9" t="s">
        <v>398</v>
      </c>
      <c r="H16" s="9">
        <v>37</v>
      </c>
    </row>
    <row r="17" spans="1:8" ht="15.75" thickBot="1" x14ac:dyDescent="0.3">
      <c r="A17" s="8"/>
      <c r="B17" s="92"/>
      <c r="C17" s="9" t="s">
        <v>399</v>
      </c>
      <c r="D17" s="9">
        <v>2</v>
      </c>
      <c r="E17" s="9" t="s">
        <v>400</v>
      </c>
      <c r="F17" s="9">
        <v>315630</v>
      </c>
      <c r="G17" s="9">
        <v>2</v>
      </c>
      <c r="H17" s="9">
        <v>2</v>
      </c>
    </row>
    <row r="18" spans="1:8" ht="15.75" thickBot="1" x14ac:dyDescent="0.3">
      <c r="A18" s="8"/>
      <c r="B18" s="92"/>
      <c r="C18" s="9" t="s">
        <v>401</v>
      </c>
      <c r="D18" s="9">
        <v>6</v>
      </c>
      <c r="E18" s="9" t="s">
        <v>402</v>
      </c>
      <c r="F18" s="9" t="s">
        <v>403</v>
      </c>
      <c r="G18" s="9" t="s">
        <v>404</v>
      </c>
      <c r="H18" s="9" t="s">
        <v>405</v>
      </c>
    </row>
    <row r="19" spans="1:8" ht="15.75" thickBot="1" x14ac:dyDescent="0.3">
      <c r="A19" s="8"/>
      <c r="B19" s="92"/>
      <c r="C19" s="9" t="s">
        <v>406</v>
      </c>
      <c r="D19" s="9">
        <v>19</v>
      </c>
      <c r="E19" s="9" t="s">
        <v>358</v>
      </c>
      <c r="F19" s="9">
        <v>524023</v>
      </c>
      <c r="G19" s="9" t="s">
        <v>407</v>
      </c>
      <c r="H19" s="9" t="s">
        <v>408</v>
      </c>
    </row>
    <row r="20" spans="1:8" ht="15.75" thickBot="1" x14ac:dyDescent="0.3">
      <c r="A20" s="8"/>
      <c r="B20" s="92"/>
      <c r="C20" s="9" t="s">
        <v>409</v>
      </c>
      <c r="D20" s="9">
        <v>9</v>
      </c>
      <c r="E20" s="9" t="s">
        <v>410</v>
      </c>
      <c r="F20" s="9" t="s">
        <v>411</v>
      </c>
      <c r="G20" s="9" t="s">
        <v>412</v>
      </c>
      <c r="H20" s="9" t="s">
        <v>393</v>
      </c>
    </row>
    <row r="21" spans="1:8" ht="15.75" thickBot="1" x14ac:dyDescent="0.3">
      <c r="A21" s="8"/>
      <c r="B21" s="92"/>
      <c r="C21" s="9" t="s">
        <v>413</v>
      </c>
      <c r="D21" s="9">
        <v>3</v>
      </c>
      <c r="E21" s="9" t="s">
        <v>414</v>
      </c>
      <c r="F21" s="9" t="s">
        <v>415</v>
      </c>
      <c r="G21" s="9">
        <v>3</v>
      </c>
      <c r="H21" s="9">
        <v>4</v>
      </c>
    </row>
    <row r="22" spans="1:8" ht="15.75" thickBot="1" x14ac:dyDescent="0.3">
      <c r="A22" s="8"/>
      <c r="B22" s="92"/>
      <c r="C22" s="9" t="s">
        <v>416</v>
      </c>
      <c r="D22" s="9">
        <v>30</v>
      </c>
      <c r="E22" s="9" t="s">
        <v>417</v>
      </c>
      <c r="F22" s="9" t="s">
        <v>418</v>
      </c>
      <c r="G22" s="9" t="s">
        <v>419</v>
      </c>
      <c r="H22" s="9" t="s">
        <v>420</v>
      </c>
    </row>
    <row r="23" spans="1:8" ht="15.75" thickBot="1" x14ac:dyDescent="0.3">
      <c r="A23" s="8"/>
      <c r="B23" s="92"/>
      <c r="C23" s="9" t="s">
        <v>421</v>
      </c>
      <c r="D23" s="9">
        <v>14</v>
      </c>
      <c r="E23" s="9" t="s">
        <v>391</v>
      </c>
      <c r="F23" s="9" t="s">
        <v>422</v>
      </c>
      <c r="G23" s="9" t="s">
        <v>423</v>
      </c>
      <c r="H23" s="9" t="s">
        <v>424</v>
      </c>
    </row>
    <row r="24" spans="1:8" ht="15.75" thickBot="1" x14ac:dyDescent="0.3">
      <c r="A24" s="8"/>
      <c r="B24" s="92"/>
      <c r="C24" s="9" t="s">
        <v>425</v>
      </c>
      <c r="D24" s="9">
        <v>30</v>
      </c>
      <c r="E24" s="9" t="s">
        <v>417</v>
      </c>
      <c r="F24" s="9" t="s">
        <v>426</v>
      </c>
      <c r="G24" s="9" t="s">
        <v>427</v>
      </c>
      <c r="H24" s="9" t="s">
        <v>428</v>
      </c>
    </row>
    <row r="25" spans="1:8" ht="15.75" thickBot="1" x14ac:dyDescent="0.3">
      <c r="A25" s="8"/>
      <c r="B25" s="92"/>
      <c r="C25" s="9" t="s">
        <v>429</v>
      </c>
      <c r="D25" s="9">
        <v>38</v>
      </c>
      <c r="E25" s="9" t="s">
        <v>430</v>
      </c>
      <c r="F25" s="9" t="s">
        <v>431</v>
      </c>
      <c r="G25" s="9">
        <v>2</v>
      </c>
      <c r="H25" s="9" t="s">
        <v>432</v>
      </c>
    </row>
    <row r="26" spans="1:8" ht="15.75" thickBot="1" x14ac:dyDescent="0.3">
      <c r="A26" s="8"/>
      <c r="B26" s="92"/>
      <c r="C26" s="9" t="s">
        <v>433</v>
      </c>
      <c r="D26" s="9">
        <v>1</v>
      </c>
      <c r="E26" s="9" t="s">
        <v>434</v>
      </c>
      <c r="F26" s="9">
        <v>455175</v>
      </c>
      <c r="G26" s="9">
        <v>1</v>
      </c>
      <c r="H26" s="9">
        <v>1</v>
      </c>
    </row>
    <row r="27" spans="1:8" ht="15.75" thickBot="1" x14ac:dyDescent="0.3">
      <c r="A27" s="8"/>
      <c r="B27" s="92"/>
      <c r="C27" s="9" t="s">
        <v>435</v>
      </c>
      <c r="D27" s="9">
        <v>21</v>
      </c>
      <c r="E27" s="9" t="s">
        <v>436</v>
      </c>
      <c r="F27" s="9" t="s">
        <v>437</v>
      </c>
      <c r="G27" s="9" t="s">
        <v>438</v>
      </c>
      <c r="H27" s="9" t="s">
        <v>439</v>
      </c>
    </row>
    <row r="28" spans="1:8" ht="15.75" thickBot="1" x14ac:dyDescent="0.3">
      <c r="A28" s="8"/>
      <c r="B28" s="92"/>
      <c r="C28" s="9" t="s">
        <v>440</v>
      </c>
      <c r="D28" s="9">
        <v>28</v>
      </c>
      <c r="E28" s="9" t="s">
        <v>441</v>
      </c>
      <c r="F28" s="9" t="s">
        <v>442</v>
      </c>
      <c r="G28" s="9">
        <v>2</v>
      </c>
      <c r="H28" s="9" t="s">
        <v>443</v>
      </c>
    </row>
    <row r="29" spans="1:8" ht="15.75" thickBot="1" x14ac:dyDescent="0.3">
      <c r="A29" s="8"/>
      <c r="B29" s="92"/>
      <c r="C29" s="9" t="s">
        <v>444</v>
      </c>
      <c r="D29" s="9">
        <v>18</v>
      </c>
      <c r="E29" s="9" t="s">
        <v>367</v>
      </c>
      <c r="F29" s="9" t="s">
        <v>445</v>
      </c>
      <c r="G29" s="9" t="s">
        <v>350</v>
      </c>
      <c r="H29" s="9" t="s">
        <v>446</v>
      </c>
    </row>
    <row r="30" spans="1:8" ht="15.75" thickBot="1" x14ac:dyDescent="0.3">
      <c r="A30" s="8"/>
      <c r="B30" s="92"/>
      <c r="C30" s="9" t="s">
        <v>447</v>
      </c>
      <c r="D30" s="9">
        <v>3</v>
      </c>
      <c r="E30" s="9" t="s">
        <v>414</v>
      </c>
      <c r="F30" s="9" t="s">
        <v>448</v>
      </c>
      <c r="G30" s="9">
        <v>3</v>
      </c>
      <c r="H30" s="9">
        <v>31</v>
      </c>
    </row>
    <row r="31" spans="1:8" ht="15.75" thickBot="1" x14ac:dyDescent="0.3">
      <c r="A31" s="8"/>
      <c r="B31" s="92"/>
      <c r="C31" s="9" t="s">
        <v>449</v>
      </c>
      <c r="D31" s="9">
        <v>4</v>
      </c>
      <c r="E31" s="9" t="s">
        <v>450</v>
      </c>
      <c r="F31" s="9">
        <v>619500</v>
      </c>
      <c r="G31" s="9">
        <v>4</v>
      </c>
      <c r="H31" s="9">
        <v>10</v>
      </c>
    </row>
    <row r="32" spans="1:8" ht="15.75" thickBot="1" x14ac:dyDescent="0.3">
      <c r="A32" s="8"/>
      <c r="B32" s="92"/>
      <c r="C32" s="9" t="s">
        <v>451</v>
      </c>
      <c r="D32" s="9">
        <v>4</v>
      </c>
      <c r="E32" s="9" t="s">
        <v>450</v>
      </c>
      <c r="F32" s="9">
        <v>294400</v>
      </c>
      <c r="G32" s="9">
        <v>4</v>
      </c>
      <c r="H32" s="9">
        <v>14</v>
      </c>
    </row>
    <row r="33" spans="1:8" ht="15.75" thickBot="1" x14ac:dyDescent="0.3">
      <c r="A33" s="8"/>
      <c r="B33" s="92"/>
      <c r="C33" s="9" t="s">
        <v>452</v>
      </c>
      <c r="D33" s="9">
        <v>19</v>
      </c>
      <c r="E33" s="9" t="s">
        <v>358</v>
      </c>
      <c r="F33" s="9" t="s">
        <v>453</v>
      </c>
      <c r="G33" s="9" t="s">
        <v>454</v>
      </c>
      <c r="H33" s="9" t="s">
        <v>455</v>
      </c>
    </row>
    <row r="34" spans="1:8" ht="15.75" thickBot="1" x14ac:dyDescent="0.3">
      <c r="A34" s="8"/>
      <c r="B34" s="92"/>
      <c r="C34" s="9" t="s">
        <v>456</v>
      </c>
      <c r="D34" s="9">
        <v>4</v>
      </c>
      <c r="E34" s="9" t="s">
        <v>450</v>
      </c>
      <c r="F34" s="9" t="s">
        <v>457</v>
      </c>
      <c r="G34" s="9">
        <v>4</v>
      </c>
      <c r="H34" s="9">
        <v>56</v>
      </c>
    </row>
    <row r="35" spans="1:8" ht="15.75" thickBot="1" x14ac:dyDescent="0.3">
      <c r="A35" s="8"/>
      <c r="B35" s="92"/>
      <c r="C35" s="9" t="s">
        <v>458</v>
      </c>
      <c r="D35" s="9">
        <v>2</v>
      </c>
      <c r="E35" s="9" t="s">
        <v>400</v>
      </c>
      <c r="F35" s="9" t="s">
        <v>459</v>
      </c>
      <c r="G35" s="9">
        <v>2</v>
      </c>
      <c r="H35" s="9">
        <v>17</v>
      </c>
    </row>
    <row r="36" spans="1:8" ht="15.75" thickBot="1" x14ac:dyDescent="0.3">
      <c r="A36" s="8"/>
      <c r="B36" s="92"/>
      <c r="C36" s="9" t="s">
        <v>460</v>
      </c>
      <c r="D36" s="9">
        <v>2</v>
      </c>
      <c r="E36" s="9" t="s">
        <v>400</v>
      </c>
      <c r="F36" s="9">
        <v>502165</v>
      </c>
      <c r="G36" s="9">
        <v>2</v>
      </c>
      <c r="H36" s="9">
        <v>40</v>
      </c>
    </row>
    <row r="37" spans="1:8" ht="15.75" thickBot="1" x14ac:dyDescent="0.3">
      <c r="A37" s="8"/>
      <c r="B37" s="92"/>
      <c r="C37" s="9" t="s">
        <v>461</v>
      </c>
      <c r="D37" s="9">
        <v>3</v>
      </c>
      <c r="E37" s="9" t="s">
        <v>414</v>
      </c>
      <c r="F37" s="9">
        <v>437325</v>
      </c>
      <c r="G37" s="9">
        <v>3</v>
      </c>
      <c r="H37" s="9">
        <v>94</v>
      </c>
    </row>
    <row r="38" spans="1:8" ht="15.75" thickBot="1" x14ac:dyDescent="0.3">
      <c r="A38" s="8"/>
      <c r="B38" s="92"/>
      <c r="C38" s="9" t="s">
        <v>462</v>
      </c>
      <c r="D38" s="9">
        <v>3</v>
      </c>
      <c r="E38" s="9" t="s">
        <v>414</v>
      </c>
      <c r="F38" s="9" t="s">
        <v>463</v>
      </c>
      <c r="G38" s="9">
        <v>3</v>
      </c>
      <c r="H38" s="9">
        <v>90</v>
      </c>
    </row>
    <row r="39" spans="1:8" ht="15.75" thickBot="1" x14ac:dyDescent="0.3">
      <c r="A39" s="8"/>
      <c r="B39" s="92"/>
      <c r="C39" s="9" t="s">
        <v>464</v>
      </c>
      <c r="D39" s="9">
        <v>3</v>
      </c>
      <c r="E39" s="9" t="s">
        <v>414</v>
      </c>
      <c r="F39" s="9">
        <v>886225</v>
      </c>
      <c r="G39" s="9">
        <v>3</v>
      </c>
      <c r="H39" s="9">
        <v>137</v>
      </c>
    </row>
    <row r="40" spans="1:8" ht="15.75" thickBot="1" x14ac:dyDescent="0.3">
      <c r="A40" s="8"/>
      <c r="B40" s="93"/>
      <c r="C40" s="9" t="s">
        <v>465</v>
      </c>
      <c r="D40" s="9">
        <v>8</v>
      </c>
      <c r="E40" s="9" t="s">
        <v>396</v>
      </c>
      <c r="F40" s="9" t="s">
        <v>466</v>
      </c>
      <c r="G40" s="9">
        <v>4</v>
      </c>
      <c r="H40" s="9">
        <v>134</v>
      </c>
    </row>
    <row r="41" spans="1:8" ht="15.75" thickBot="1" x14ac:dyDescent="0.3">
      <c r="A41" s="8"/>
      <c r="B41" s="11" t="s">
        <v>467</v>
      </c>
      <c r="C41" s="12" t="s">
        <v>347</v>
      </c>
      <c r="D41" s="12">
        <v>72</v>
      </c>
      <c r="E41" s="12" t="s">
        <v>348</v>
      </c>
      <c r="F41" s="12" t="s">
        <v>468</v>
      </c>
      <c r="G41" s="12" t="s">
        <v>469</v>
      </c>
      <c r="H41" s="12" t="s">
        <v>470</v>
      </c>
    </row>
    <row r="42" spans="1:8" ht="15.75" thickBot="1" x14ac:dyDescent="0.3">
      <c r="A42" s="8"/>
      <c r="B42" s="91"/>
      <c r="C42" s="9" t="s">
        <v>471</v>
      </c>
      <c r="D42" s="9">
        <v>1</v>
      </c>
      <c r="E42" s="9" t="s">
        <v>472</v>
      </c>
      <c r="F42" s="9">
        <v>689940</v>
      </c>
      <c r="G42" s="9">
        <v>3</v>
      </c>
      <c r="H42" s="9">
        <v>-5</v>
      </c>
    </row>
    <row r="43" spans="1:8" ht="15.75" thickBot="1" x14ac:dyDescent="0.3">
      <c r="A43" s="8"/>
      <c r="B43" s="92"/>
      <c r="C43" s="9" t="s">
        <v>406</v>
      </c>
      <c r="D43" s="9">
        <v>3</v>
      </c>
      <c r="E43" s="9" t="s">
        <v>473</v>
      </c>
      <c r="F43" s="9">
        <v>400000</v>
      </c>
      <c r="G43" s="9">
        <v>3</v>
      </c>
      <c r="H43" s="9">
        <v>0</v>
      </c>
    </row>
    <row r="44" spans="1:8" ht="15.75" thickBot="1" x14ac:dyDescent="0.3">
      <c r="A44" s="8"/>
      <c r="B44" s="92"/>
      <c r="C44" s="9" t="s">
        <v>370</v>
      </c>
      <c r="D44" s="9">
        <v>12</v>
      </c>
      <c r="E44" s="9" t="s">
        <v>474</v>
      </c>
      <c r="F44" s="9" t="s">
        <v>475</v>
      </c>
      <c r="G44" s="9" t="s">
        <v>476</v>
      </c>
      <c r="H44" s="9" t="s">
        <v>477</v>
      </c>
    </row>
    <row r="45" spans="1:8" ht="15.75" thickBot="1" x14ac:dyDescent="0.3">
      <c r="A45" s="8"/>
      <c r="B45" s="92"/>
      <c r="C45" s="9" t="s">
        <v>416</v>
      </c>
      <c r="D45" s="9">
        <v>5</v>
      </c>
      <c r="E45" s="9" t="s">
        <v>478</v>
      </c>
      <c r="F45" s="9">
        <v>420000</v>
      </c>
      <c r="G45" s="9">
        <v>5</v>
      </c>
      <c r="H45" s="9">
        <v>1</v>
      </c>
    </row>
    <row r="46" spans="1:8" ht="15.75" thickBot="1" x14ac:dyDescent="0.3">
      <c r="A46" s="8"/>
      <c r="B46" s="92"/>
      <c r="C46" s="9" t="s">
        <v>375</v>
      </c>
      <c r="D46" s="9">
        <v>15</v>
      </c>
      <c r="E46" s="9" t="s">
        <v>479</v>
      </c>
      <c r="F46" s="9" t="s">
        <v>480</v>
      </c>
      <c r="G46" s="9">
        <v>3</v>
      </c>
      <c r="H46" s="9" t="s">
        <v>481</v>
      </c>
    </row>
    <row r="47" spans="1:8" ht="15.75" thickBot="1" x14ac:dyDescent="0.3">
      <c r="A47" s="8"/>
      <c r="B47" s="92"/>
      <c r="C47" s="9" t="s">
        <v>352</v>
      </c>
      <c r="D47" s="9">
        <v>16</v>
      </c>
      <c r="E47" s="9" t="s">
        <v>482</v>
      </c>
      <c r="F47" s="9" t="s">
        <v>483</v>
      </c>
      <c r="G47" s="9" t="s">
        <v>484</v>
      </c>
      <c r="H47" s="9" t="s">
        <v>485</v>
      </c>
    </row>
    <row r="48" spans="1:8" ht="15.75" thickBot="1" x14ac:dyDescent="0.3">
      <c r="A48" s="8"/>
      <c r="B48" s="92"/>
      <c r="C48" s="9" t="s">
        <v>435</v>
      </c>
      <c r="D48" s="9">
        <v>1</v>
      </c>
      <c r="E48" s="9" t="s">
        <v>472</v>
      </c>
      <c r="F48" s="9">
        <v>320000</v>
      </c>
      <c r="G48" s="9">
        <v>1</v>
      </c>
      <c r="H48" s="9">
        <v>5</v>
      </c>
    </row>
    <row r="49" spans="1:8" ht="15.75" thickBot="1" x14ac:dyDescent="0.3">
      <c r="A49" s="8"/>
      <c r="B49" s="92"/>
      <c r="C49" s="9" t="s">
        <v>452</v>
      </c>
      <c r="D49" s="9">
        <v>11</v>
      </c>
      <c r="E49" s="9" t="s">
        <v>486</v>
      </c>
      <c r="F49" s="9" t="s">
        <v>487</v>
      </c>
      <c r="G49" s="9" t="s">
        <v>488</v>
      </c>
      <c r="H49" s="9" t="s">
        <v>489</v>
      </c>
    </row>
    <row r="50" spans="1:8" ht="15.75" thickBot="1" x14ac:dyDescent="0.3">
      <c r="A50" s="8"/>
      <c r="B50" s="92"/>
      <c r="C50" s="9" t="s">
        <v>425</v>
      </c>
      <c r="D50" s="9">
        <v>1</v>
      </c>
      <c r="E50" s="9" t="s">
        <v>472</v>
      </c>
      <c r="F50" s="9">
        <v>400000</v>
      </c>
      <c r="G50" s="9">
        <v>1</v>
      </c>
      <c r="H50" s="9">
        <v>11</v>
      </c>
    </row>
    <row r="51" spans="1:8" ht="15.75" thickBot="1" x14ac:dyDescent="0.3">
      <c r="A51" s="8"/>
      <c r="B51" s="92"/>
      <c r="C51" s="9" t="s">
        <v>429</v>
      </c>
      <c r="D51" s="9">
        <v>1</v>
      </c>
      <c r="E51" s="9" t="s">
        <v>472</v>
      </c>
      <c r="F51" s="9">
        <v>563757</v>
      </c>
      <c r="G51" s="9">
        <v>1</v>
      </c>
      <c r="H51" s="9">
        <v>0</v>
      </c>
    </row>
    <row r="52" spans="1:8" ht="15.75" thickBot="1" x14ac:dyDescent="0.3">
      <c r="A52" s="8"/>
      <c r="B52" s="92"/>
      <c r="C52" s="9" t="s">
        <v>385</v>
      </c>
      <c r="D52" s="9">
        <v>1</v>
      </c>
      <c r="E52" s="9" t="s">
        <v>472</v>
      </c>
      <c r="F52" s="9">
        <v>468500</v>
      </c>
      <c r="G52" s="9">
        <v>1</v>
      </c>
      <c r="H52" s="9">
        <v>2</v>
      </c>
    </row>
    <row r="53" spans="1:8" ht="15.75" thickBot="1" x14ac:dyDescent="0.3">
      <c r="A53" s="8"/>
      <c r="B53" s="92"/>
      <c r="C53" s="9" t="s">
        <v>490</v>
      </c>
      <c r="D53" s="9">
        <v>2</v>
      </c>
      <c r="E53" s="9" t="s">
        <v>491</v>
      </c>
      <c r="F53" s="9" t="s">
        <v>492</v>
      </c>
      <c r="G53" s="9">
        <v>2</v>
      </c>
      <c r="H53" s="9">
        <v>12</v>
      </c>
    </row>
    <row r="54" spans="1:8" ht="15.75" thickBot="1" x14ac:dyDescent="0.3">
      <c r="A54" s="8"/>
      <c r="B54" s="92"/>
      <c r="C54" s="9" t="s">
        <v>362</v>
      </c>
      <c r="D54" s="9">
        <v>1</v>
      </c>
      <c r="E54" s="9" t="s">
        <v>472</v>
      </c>
      <c r="F54" s="9">
        <v>315000</v>
      </c>
      <c r="G54" s="9">
        <v>1</v>
      </c>
      <c r="H54" s="9">
        <v>2</v>
      </c>
    </row>
    <row r="55" spans="1:8" ht="15.75" thickBot="1" x14ac:dyDescent="0.3">
      <c r="A55" s="8"/>
      <c r="B55" s="93"/>
      <c r="C55" s="9" t="s">
        <v>421</v>
      </c>
      <c r="D55" s="9">
        <v>2</v>
      </c>
      <c r="E55" s="9" t="s">
        <v>491</v>
      </c>
      <c r="F55" s="9">
        <v>269089</v>
      </c>
      <c r="G55" s="9">
        <v>2</v>
      </c>
      <c r="H55" s="9">
        <v>1</v>
      </c>
    </row>
    <row r="56" spans="1:8" ht="15.75" thickBot="1" x14ac:dyDescent="0.3">
      <c r="A56" s="8"/>
      <c r="B56" s="11" t="s">
        <v>493</v>
      </c>
      <c r="C56" s="12" t="s">
        <v>347</v>
      </c>
      <c r="D56" s="12">
        <v>107</v>
      </c>
      <c r="E56" s="12" t="s">
        <v>348</v>
      </c>
      <c r="F56" s="12" t="s">
        <v>494</v>
      </c>
      <c r="G56" s="12" t="s">
        <v>360</v>
      </c>
      <c r="H56" s="12" t="s">
        <v>495</v>
      </c>
    </row>
    <row r="57" spans="1:8" ht="15.75" thickBot="1" x14ac:dyDescent="0.3">
      <c r="A57" s="8"/>
      <c r="B57" s="91"/>
      <c r="C57" s="9" t="s">
        <v>425</v>
      </c>
      <c r="D57" s="9">
        <v>2</v>
      </c>
      <c r="E57" s="9" t="s">
        <v>496</v>
      </c>
      <c r="F57" s="9">
        <v>358722</v>
      </c>
      <c r="G57" s="9">
        <v>2</v>
      </c>
      <c r="H57" s="9">
        <v>-3</v>
      </c>
    </row>
    <row r="58" spans="1:8" ht="15.75" thickBot="1" x14ac:dyDescent="0.3">
      <c r="A58" s="8"/>
      <c r="B58" s="92"/>
      <c r="C58" s="9" t="s">
        <v>375</v>
      </c>
      <c r="D58" s="9">
        <v>3</v>
      </c>
      <c r="E58" s="9" t="s">
        <v>497</v>
      </c>
      <c r="F58" s="9">
        <v>335586</v>
      </c>
      <c r="G58" s="9">
        <v>3</v>
      </c>
      <c r="H58" s="9">
        <v>-3</v>
      </c>
    </row>
    <row r="59" spans="1:8" ht="15.75" thickBot="1" x14ac:dyDescent="0.3">
      <c r="A59" s="8"/>
      <c r="B59" s="92"/>
      <c r="C59" s="9" t="s">
        <v>421</v>
      </c>
      <c r="D59" s="9">
        <v>7</v>
      </c>
      <c r="E59" s="9" t="s">
        <v>498</v>
      </c>
      <c r="F59" s="9" t="s">
        <v>499</v>
      </c>
      <c r="G59" s="9" t="s">
        <v>500</v>
      </c>
      <c r="H59" s="9">
        <v>4</v>
      </c>
    </row>
    <row r="60" spans="1:8" ht="15.75" thickBot="1" x14ac:dyDescent="0.3">
      <c r="A60" s="8"/>
      <c r="B60" s="92"/>
      <c r="C60" s="9" t="s">
        <v>429</v>
      </c>
      <c r="D60" s="9">
        <v>11</v>
      </c>
      <c r="E60" s="9" t="s">
        <v>501</v>
      </c>
      <c r="F60" s="9" t="s">
        <v>502</v>
      </c>
      <c r="G60" s="9" t="s">
        <v>355</v>
      </c>
      <c r="H60" s="9">
        <v>10</v>
      </c>
    </row>
    <row r="61" spans="1:8" ht="15.75" thickBot="1" x14ac:dyDescent="0.3">
      <c r="A61" s="8"/>
      <c r="B61" s="92"/>
      <c r="C61" s="9" t="s">
        <v>352</v>
      </c>
      <c r="D61" s="9">
        <v>10</v>
      </c>
      <c r="E61" s="9" t="s">
        <v>503</v>
      </c>
      <c r="F61" s="9" t="s">
        <v>504</v>
      </c>
      <c r="G61" s="9" t="s">
        <v>505</v>
      </c>
      <c r="H61" s="9" t="s">
        <v>506</v>
      </c>
    </row>
    <row r="62" spans="1:8" ht="15.75" thickBot="1" x14ac:dyDescent="0.3">
      <c r="A62" s="8"/>
      <c r="B62" s="92"/>
      <c r="C62" s="9" t="s">
        <v>370</v>
      </c>
      <c r="D62" s="9">
        <v>34</v>
      </c>
      <c r="E62" s="9" t="s">
        <v>507</v>
      </c>
      <c r="F62" s="9" t="s">
        <v>508</v>
      </c>
      <c r="G62" s="9" t="s">
        <v>509</v>
      </c>
      <c r="H62" s="9" t="s">
        <v>510</v>
      </c>
    </row>
    <row r="63" spans="1:8" ht="15.75" thickBot="1" x14ac:dyDescent="0.3">
      <c r="A63" s="8"/>
      <c r="B63" s="92"/>
      <c r="C63" s="9" t="s">
        <v>458</v>
      </c>
      <c r="D63" s="9">
        <v>2</v>
      </c>
      <c r="E63" s="9" t="s">
        <v>496</v>
      </c>
      <c r="F63" s="9">
        <v>305159</v>
      </c>
      <c r="G63" s="9">
        <v>2</v>
      </c>
      <c r="H63" s="9">
        <v>10</v>
      </c>
    </row>
    <row r="64" spans="1:8" ht="15.75" thickBot="1" x14ac:dyDescent="0.3">
      <c r="A64" s="8"/>
      <c r="B64" s="92"/>
      <c r="C64" s="9" t="s">
        <v>511</v>
      </c>
      <c r="D64" s="9">
        <v>2</v>
      </c>
      <c r="E64" s="9" t="s">
        <v>496</v>
      </c>
      <c r="F64" s="9">
        <v>336960</v>
      </c>
      <c r="G64" s="9">
        <v>1</v>
      </c>
      <c r="H64" s="9" t="s">
        <v>512</v>
      </c>
    </row>
    <row r="65" spans="1:8" ht="15.75" thickBot="1" x14ac:dyDescent="0.3">
      <c r="A65" s="8"/>
      <c r="B65" s="92"/>
      <c r="C65" s="9" t="s">
        <v>452</v>
      </c>
      <c r="D65" s="9">
        <v>13</v>
      </c>
      <c r="E65" s="9" t="s">
        <v>513</v>
      </c>
      <c r="F65" s="9" t="s">
        <v>514</v>
      </c>
      <c r="G65" s="9" t="s">
        <v>515</v>
      </c>
      <c r="H65" s="9" t="s">
        <v>516</v>
      </c>
    </row>
    <row r="66" spans="1:8" ht="15.75" thickBot="1" x14ac:dyDescent="0.3">
      <c r="A66" s="8"/>
      <c r="B66" s="92"/>
      <c r="C66" s="9" t="s">
        <v>385</v>
      </c>
      <c r="D66" s="9">
        <v>10</v>
      </c>
      <c r="E66" s="9" t="s">
        <v>503</v>
      </c>
      <c r="F66" s="9" t="s">
        <v>517</v>
      </c>
      <c r="G66" s="9" t="s">
        <v>505</v>
      </c>
      <c r="H66" s="9" t="s">
        <v>518</v>
      </c>
    </row>
    <row r="67" spans="1:8" ht="15.75" thickBot="1" x14ac:dyDescent="0.3">
      <c r="A67" s="8"/>
      <c r="B67" s="93"/>
      <c r="C67" s="9" t="s">
        <v>380</v>
      </c>
      <c r="D67" s="9">
        <v>13</v>
      </c>
      <c r="E67" s="9" t="s">
        <v>513</v>
      </c>
      <c r="F67" s="9" t="s">
        <v>519</v>
      </c>
      <c r="G67" s="9" t="s">
        <v>520</v>
      </c>
      <c r="H67" s="9" t="s">
        <v>521</v>
      </c>
    </row>
    <row r="68" spans="1:8" ht="15.75" thickBot="1" x14ac:dyDescent="0.3">
      <c r="A68" s="8"/>
      <c r="B68" s="11" t="s">
        <v>522</v>
      </c>
      <c r="C68" s="12" t="s">
        <v>347</v>
      </c>
      <c r="D68" s="12">
        <v>10</v>
      </c>
      <c r="E68" s="12" t="s">
        <v>348</v>
      </c>
      <c r="F68" s="12" t="s">
        <v>523</v>
      </c>
      <c r="G68" s="12" t="s">
        <v>515</v>
      </c>
      <c r="H68" s="12" t="s">
        <v>524</v>
      </c>
    </row>
    <row r="69" spans="1:8" ht="15.75" thickBot="1" x14ac:dyDescent="0.3">
      <c r="A69" s="8"/>
      <c r="B69" s="91"/>
      <c r="C69" s="9" t="s">
        <v>352</v>
      </c>
      <c r="D69" s="9">
        <v>7</v>
      </c>
      <c r="E69" s="9" t="s">
        <v>525</v>
      </c>
      <c r="F69" s="9" t="s">
        <v>526</v>
      </c>
      <c r="G69" s="9" t="s">
        <v>500</v>
      </c>
      <c r="H69" s="9">
        <v>13</v>
      </c>
    </row>
    <row r="70" spans="1:8" ht="15.75" thickBot="1" x14ac:dyDescent="0.3">
      <c r="A70" s="8"/>
      <c r="B70" s="93"/>
      <c r="C70" s="9" t="s">
        <v>399</v>
      </c>
      <c r="D70" s="9">
        <v>3</v>
      </c>
      <c r="E70" s="9" t="s">
        <v>527</v>
      </c>
      <c r="F70" s="9" t="s">
        <v>528</v>
      </c>
      <c r="G70" s="9">
        <v>3</v>
      </c>
      <c r="H70" s="9">
        <v>36</v>
      </c>
    </row>
    <row r="71" spans="1:8" ht="15.75" thickBot="1" x14ac:dyDescent="0.3">
      <c r="A71" s="8"/>
      <c r="B71" s="11" t="s">
        <v>529</v>
      </c>
      <c r="C71" s="12" t="s">
        <v>347</v>
      </c>
      <c r="D71" s="12">
        <v>10</v>
      </c>
      <c r="E71" s="12" t="s">
        <v>348</v>
      </c>
      <c r="F71" s="12" t="s">
        <v>530</v>
      </c>
      <c r="G71" s="12">
        <v>2</v>
      </c>
      <c r="H71" s="12" t="s">
        <v>531</v>
      </c>
    </row>
    <row r="72" spans="1:8" ht="15.75" thickBot="1" x14ac:dyDescent="0.3">
      <c r="A72" s="8"/>
      <c r="B72" s="91"/>
      <c r="C72" s="9" t="s">
        <v>444</v>
      </c>
      <c r="D72" s="9">
        <v>3</v>
      </c>
      <c r="E72" s="9" t="s">
        <v>527</v>
      </c>
      <c r="F72" s="9">
        <v>396782</v>
      </c>
      <c r="G72" s="9">
        <v>3</v>
      </c>
      <c r="H72" s="9">
        <v>6</v>
      </c>
    </row>
    <row r="73" spans="1:8" ht="15.75" thickBot="1" x14ac:dyDescent="0.3">
      <c r="A73" s="8"/>
      <c r="B73" s="92"/>
      <c r="C73" s="9" t="s">
        <v>429</v>
      </c>
      <c r="D73" s="9">
        <v>2</v>
      </c>
      <c r="E73" s="9" t="s">
        <v>532</v>
      </c>
      <c r="F73" s="9" t="s">
        <v>533</v>
      </c>
      <c r="G73" s="9">
        <v>2</v>
      </c>
      <c r="H73" s="9">
        <v>3</v>
      </c>
    </row>
    <row r="74" spans="1:8" ht="15.75" thickBot="1" x14ac:dyDescent="0.3">
      <c r="A74" s="8"/>
      <c r="B74" s="92"/>
      <c r="C74" s="9" t="s">
        <v>471</v>
      </c>
      <c r="D74" s="9">
        <v>1</v>
      </c>
      <c r="E74" s="9" t="s">
        <v>534</v>
      </c>
      <c r="F74" s="9">
        <v>354510</v>
      </c>
      <c r="G74" s="9">
        <v>1</v>
      </c>
      <c r="H74" s="9">
        <v>5</v>
      </c>
    </row>
    <row r="75" spans="1:8" ht="15.75" thickBot="1" x14ac:dyDescent="0.3">
      <c r="A75" s="8"/>
      <c r="B75" s="92"/>
      <c r="C75" s="9" t="s">
        <v>370</v>
      </c>
      <c r="D75" s="9">
        <v>2</v>
      </c>
      <c r="E75" s="9" t="s">
        <v>532</v>
      </c>
      <c r="F75" s="9">
        <v>581469</v>
      </c>
      <c r="G75" s="9">
        <v>2</v>
      </c>
      <c r="H75" s="9">
        <v>1</v>
      </c>
    </row>
    <row r="76" spans="1:8" ht="15.75" thickBot="1" x14ac:dyDescent="0.3">
      <c r="A76" s="8"/>
      <c r="B76" s="93"/>
      <c r="C76" s="9" t="s">
        <v>352</v>
      </c>
      <c r="D76" s="9">
        <v>2</v>
      </c>
      <c r="E76" s="9" t="s">
        <v>532</v>
      </c>
      <c r="F76" s="9" t="s">
        <v>535</v>
      </c>
      <c r="G76" s="9">
        <v>2</v>
      </c>
      <c r="H76" s="9">
        <v>17</v>
      </c>
    </row>
    <row r="77" spans="1:8" ht="15.75" thickBot="1" x14ac:dyDescent="0.3">
      <c r="A77" s="8"/>
      <c r="B77" s="11" t="s">
        <v>536</v>
      </c>
      <c r="C77" s="12" t="s">
        <v>347</v>
      </c>
      <c r="D77" s="12">
        <v>20</v>
      </c>
      <c r="E77" s="12" t="s">
        <v>348</v>
      </c>
      <c r="F77" s="12" t="s">
        <v>537</v>
      </c>
      <c r="G77" s="12" t="s">
        <v>412</v>
      </c>
      <c r="H77" s="12" t="s">
        <v>538</v>
      </c>
    </row>
    <row r="78" spans="1:8" ht="15.75" thickBot="1" x14ac:dyDescent="0.3">
      <c r="A78" s="8"/>
      <c r="B78" s="91"/>
      <c r="C78" s="9" t="s">
        <v>421</v>
      </c>
      <c r="D78" s="9">
        <v>2</v>
      </c>
      <c r="E78" s="9" t="s">
        <v>534</v>
      </c>
      <c r="F78" s="9">
        <v>500000</v>
      </c>
      <c r="G78" s="9">
        <v>2</v>
      </c>
      <c r="H78" s="9">
        <v>5</v>
      </c>
    </row>
    <row r="79" spans="1:8" ht="15.75" thickBot="1" x14ac:dyDescent="0.3">
      <c r="A79" s="8"/>
      <c r="B79" s="92"/>
      <c r="C79" s="9" t="s">
        <v>370</v>
      </c>
      <c r="D79" s="9">
        <v>2</v>
      </c>
      <c r="E79" s="9" t="s">
        <v>534</v>
      </c>
      <c r="F79" s="9">
        <v>620500</v>
      </c>
      <c r="G79" s="9">
        <v>2</v>
      </c>
      <c r="H79" s="9">
        <v>18</v>
      </c>
    </row>
    <row r="80" spans="1:8" ht="15.75" thickBot="1" x14ac:dyDescent="0.3">
      <c r="A80" s="8"/>
      <c r="B80" s="92"/>
      <c r="C80" s="9" t="s">
        <v>375</v>
      </c>
      <c r="D80" s="9">
        <v>6</v>
      </c>
      <c r="E80" s="9" t="s">
        <v>527</v>
      </c>
      <c r="F80" s="9" t="s">
        <v>539</v>
      </c>
      <c r="G80" s="9">
        <v>3</v>
      </c>
      <c r="H80" s="9">
        <v>133</v>
      </c>
    </row>
    <row r="81" spans="1:8" ht="15.75" thickBot="1" x14ac:dyDescent="0.3">
      <c r="A81" s="8"/>
      <c r="B81" s="92"/>
      <c r="C81" s="9" t="s">
        <v>435</v>
      </c>
      <c r="D81" s="9">
        <v>1</v>
      </c>
      <c r="E81" s="9" t="s">
        <v>540</v>
      </c>
      <c r="F81" s="9">
        <v>825833</v>
      </c>
      <c r="G81" s="9">
        <v>1</v>
      </c>
      <c r="H81" s="9">
        <v>37</v>
      </c>
    </row>
    <row r="82" spans="1:8" ht="15.75" thickBot="1" x14ac:dyDescent="0.3">
      <c r="A82" s="8"/>
      <c r="B82" s="93"/>
      <c r="C82" s="9" t="s">
        <v>352</v>
      </c>
      <c r="D82" s="9">
        <v>9</v>
      </c>
      <c r="E82" s="9" t="s">
        <v>541</v>
      </c>
      <c r="F82" s="9" t="s">
        <v>542</v>
      </c>
      <c r="G82" s="9">
        <v>1</v>
      </c>
      <c r="H82" s="9" t="s">
        <v>543</v>
      </c>
    </row>
    <row r="83" spans="1:8" ht="15.75" thickBot="1" x14ac:dyDescent="0.3">
      <c r="A83" s="8"/>
      <c r="B83" s="11" t="s">
        <v>544</v>
      </c>
      <c r="C83" s="12" t="s">
        <v>347</v>
      </c>
      <c r="D83" s="12">
        <v>4</v>
      </c>
      <c r="E83" s="12" t="s">
        <v>348</v>
      </c>
      <c r="F83" s="12" t="s">
        <v>545</v>
      </c>
      <c r="G83" s="12">
        <v>2</v>
      </c>
      <c r="H83" s="12">
        <v>10</v>
      </c>
    </row>
    <row r="84" spans="1:8" ht="15.75" thickBot="1" x14ac:dyDescent="0.3">
      <c r="A84" s="8"/>
      <c r="B84" s="91"/>
      <c r="C84" s="9" t="s">
        <v>370</v>
      </c>
      <c r="D84" s="9">
        <v>1</v>
      </c>
      <c r="E84" s="9" t="s">
        <v>546</v>
      </c>
      <c r="F84" s="9">
        <v>378946</v>
      </c>
      <c r="G84" s="9">
        <v>1</v>
      </c>
      <c r="H84" s="9">
        <v>1</v>
      </c>
    </row>
    <row r="85" spans="1:8" ht="15.75" thickBot="1" x14ac:dyDescent="0.3">
      <c r="A85" s="8"/>
      <c r="B85" s="93"/>
      <c r="C85" s="9" t="s">
        <v>385</v>
      </c>
      <c r="D85" s="9">
        <v>3</v>
      </c>
      <c r="E85" s="9" t="s">
        <v>547</v>
      </c>
      <c r="F85" s="9" t="s">
        <v>548</v>
      </c>
      <c r="G85" s="9">
        <v>3</v>
      </c>
      <c r="H85" s="9">
        <v>19</v>
      </c>
    </row>
    <row r="86" spans="1:8" ht="15.75" thickBot="1" x14ac:dyDescent="0.3">
      <c r="A86" s="8"/>
      <c r="B86" s="11" t="s">
        <v>549</v>
      </c>
      <c r="C86" s="12" t="s">
        <v>347</v>
      </c>
      <c r="D86" s="12">
        <v>16</v>
      </c>
      <c r="E86" s="12" t="s">
        <v>348</v>
      </c>
      <c r="F86" s="12">
        <v>0</v>
      </c>
      <c r="G86" s="12" t="s">
        <v>550</v>
      </c>
      <c r="H86" s="12" t="s">
        <v>551</v>
      </c>
    </row>
    <row r="87" spans="1:8" ht="15.75" thickBot="1" x14ac:dyDescent="0.3">
      <c r="A87" s="8"/>
      <c r="B87" s="91"/>
      <c r="C87" s="9" t="s">
        <v>352</v>
      </c>
      <c r="D87" s="9">
        <v>2</v>
      </c>
      <c r="E87" s="9" t="s">
        <v>552</v>
      </c>
      <c r="F87" s="9">
        <v>0</v>
      </c>
      <c r="G87" s="9">
        <v>1</v>
      </c>
      <c r="H87" s="9">
        <v>23</v>
      </c>
    </row>
    <row r="88" spans="1:8" ht="15.75" thickBot="1" x14ac:dyDescent="0.3">
      <c r="A88" s="8"/>
      <c r="B88" s="93"/>
      <c r="C88" s="9" t="s">
        <v>452</v>
      </c>
      <c r="D88" s="9">
        <v>14</v>
      </c>
      <c r="E88" s="9" t="s">
        <v>553</v>
      </c>
      <c r="F88" s="9">
        <v>0</v>
      </c>
      <c r="G88" s="9" t="s">
        <v>393</v>
      </c>
      <c r="H88" s="9" t="s">
        <v>554</v>
      </c>
    </row>
    <row r="89" spans="1:8" ht="15.75" thickBot="1" x14ac:dyDescent="0.3">
      <c r="A89" s="8"/>
      <c r="B89" s="11" t="s">
        <v>555</v>
      </c>
      <c r="C89" s="12" t="s">
        <v>347</v>
      </c>
      <c r="D89" s="12">
        <v>4</v>
      </c>
      <c r="E89" s="12" t="s">
        <v>348</v>
      </c>
      <c r="F89" s="12">
        <v>269000</v>
      </c>
      <c r="G89" s="12">
        <v>1</v>
      </c>
      <c r="H89" s="12" t="s">
        <v>556</v>
      </c>
    </row>
    <row r="90" spans="1:8" ht="15.75" thickBot="1" x14ac:dyDescent="0.3">
      <c r="A90" s="8"/>
      <c r="B90" s="91"/>
      <c r="C90" s="9" t="s">
        <v>352</v>
      </c>
      <c r="D90" s="9">
        <v>2</v>
      </c>
      <c r="E90" s="9" t="s">
        <v>557</v>
      </c>
      <c r="F90" s="9">
        <v>0</v>
      </c>
      <c r="G90" s="9">
        <v>1</v>
      </c>
      <c r="H90" s="9" t="s">
        <v>404</v>
      </c>
    </row>
    <row r="91" spans="1:8" ht="15.75" thickBot="1" x14ac:dyDescent="0.3">
      <c r="A91" s="8"/>
      <c r="B91" s="92"/>
      <c r="C91" s="9" t="s">
        <v>370</v>
      </c>
      <c r="D91" s="9">
        <v>1</v>
      </c>
      <c r="E91" s="9" t="s">
        <v>546</v>
      </c>
      <c r="F91" s="9">
        <v>407000</v>
      </c>
      <c r="G91" s="9">
        <v>1</v>
      </c>
      <c r="H91" s="9">
        <v>1</v>
      </c>
    </row>
    <row r="92" spans="1:8" ht="15.75" thickBot="1" x14ac:dyDescent="0.3">
      <c r="A92" s="8"/>
      <c r="B92" s="93"/>
      <c r="C92" s="9" t="s">
        <v>452</v>
      </c>
      <c r="D92" s="9">
        <v>1</v>
      </c>
      <c r="E92" s="9" t="s">
        <v>546</v>
      </c>
      <c r="F92" s="9">
        <v>400000</v>
      </c>
      <c r="G92" s="9">
        <v>1</v>
      </c>
      <c r="H92" s="9">
        <v>1</v>
      </c>
    </row>
    <row r="93" spans="1:8" ht="26.25" thickBot="1" x14ac:dyDescent="0.3">
      <c r="A93" s="8"/>
      <c r="B93" s="11" t="s">
        <v>558</v>
      </c>
      <c r="C93" s="12" t="s">
        <v>347</v>
      </c>
      <c r="D93" s="12">
        <v>10</v>
      </c>
      <c r="E93" s="12" t="s">
        <v>348</v>
      </c>
      <c r="F93" s="12" t="s">
        <v>559</v>
      </c>
      <c r="G93" s="12" t="s">
        <v>560</v>
      </c>
      <c r="H93" s="12" t="s">
        <v>561</v>
      </c>
    </row>
    <row r="94" spans="1:8" ht="15.75" thickBot="1" x14ac:dyDescent="0.3">
      <c r="A94" s="8"/>
      <c r="B94" s="91"/>
      <c r="C94" s="9" t="s">
        <v>390</v>
      </c>
      <c r="D94" s="9">
        <v>5</v>
      </c>
      <c r="E94" s="9" t="s">
        <v>557</v>
      </c>
      <c r="F94" s="9" t="s">
        <v>562</v>
      </c>
      <c r="G94" s="9">
        <v>5</v>
      </c>
      <c r="H94" s="9">
        <v>12</v>
      </c>
    </row>
    <row r="95" spans="1:8" ht="15.75" thickBot="1" x14ac:dyDescent="0.3">
      <c r="A95" s="8"/>
      <c r="B95" s="92"/>
      <c r="C95" s="9" t="s">
        <v>362</v>
      </c>
      <c r="D95" s="9">
        <v>2</v>
      </c>
      <c r="E95" s="9" t="s">
        <v>532</v>
      </c>
      <c r="F95" s="9">
        <v>484659</v>
      </c>
      <c r="G95" s="9">
        <v>2</v>
      </c>
      <c r="H95" s="9">
        <v>34</v>
      </c>
    </row>
    <row r="96" spans="1:8" ht="15.75" thickBot="1" x14ac:dyDescent="0.3">
      <c r="A96" s="8"/>
      <c r="B96" s="92"/>
      <c r="C96" s="9" t="s">
        <v>370</v>
      </c>
      <c r="D96" s="9">
        <v>2</v>
      </c>
      <c r="E96" s="9" t="s">
        <v>532</v>
      </c>
      <c r="F96" s="9">
        <v>396900</v>
      </c>
      <c r="G96" s="9">
        <v>1</v>
      </c>
      <c r="H96" s="9">
        <v>45</v>
      </c>
    </row>
    <row r="97" spans="1:9" ht="15.75" thickBot="1" x14ac:dyDescent="0.3">
      <c r="A97" s="8"/>
      <c r="B97" s="93"/>
      <c r="C97" s="9" t="s">
        <v>352</v>
      </c>
      <c r="D97" s="9">
        <v>1</v>
      </c>
      <c r="E97" s="9" t="s">
        <v>534</v>
      </c>
      <c r="F97" s="9">
        <v>440550</v>
      </c>
      <c r="G97" s="9">
        <v>1</v>
      </c>
      <c r="H97" s="9">
        <v>39</v>
      </c>
    </row>
    <row r="98" spans="1:9" ht="15.75" thickBot="1" x14ac:dyDescent="0.3">
      <c r="A98" s="1"/>
      <c r="B98" s="1"/>
      <c r="C98" s="1"/>
      <c r="D98" s="1"/>
      <c r="E98" s="1"/>
      <c r="F98" s="1"/>
      <c r="G98" s="1"/>
      <c r="H98" s="1"/>
    </row>
    <row r="99" spans="1:9" ht="15.75" thickBot="1" x14ac:dyDescent="0.3">
      <c r="A99" s="1"/>
      <c r="B99" s="1"/>
      <c r="C99" s="1"/>
      <c r="D99" s="1"/>
      <c r="E99" s="1"/>
      <c r="F99" s="1"/>
      <c r="G99" s="1"/>
      <c r="H99" s="1"/>
    </row>
    <row r="100" spans="1:9" ht="45.75" customHeight="1" thickBot="1" x14ac:dyDescent="0.3">
      <c r="A100" s="104" t="s">
        <v>563</v>
      </c>
      <c r="B100" s="105"/>
      <c r="C100" s="105"/>
      <c r="D100" s="105"/>
      <c r="E100" s="105"/>
      <c r="F100" s="106"/>
      <c r="G100" s="98" t="s">
        <v>564</v>
      </c>
      <c r="H100" s="99"/>
      <c r="I100" s="100"/>
    </row>
    <row r="101" spans="1:9" ht="30.75" customHeight="1" thickBot="1" x14ac:dyDescent="0.3">
      <c r="A101" s="13" t="s">
        <v>565</v>
      </c>
      <c r="B101" s="101" t="s">
        <v>566</v>
      </c>
      <c r="C101" s="102"/>
      <c r="D101" s="102"/>
      <c r="E101" s="102"/>
      <c r="F101" s="103"/>
      <c r="G101" s="98" t="s">
        <v>567</v>
      </c>
      <c r="H101" s="99"/>
      <c r="I101" s="100"/>
    </row>
    <row r="102" spans="1:9" ht="15.75" thickBot="1" x14ac:dyDescent="0.3">
      <c r="A102" s="13" t="s">
        <v>568</v>
      </c>
      <c r="B102" s="14" t="s">
        <v>569</v>
      </c>
      <c r="C102" s="14" t="s">
        <v>570</v>
      </c>
      <c r="D102" s="14" t="s">
        <v>571</v>
      </c>
      <c r="E102" s="14" t="s">
        <v>572</v>
      </c>
      <c r="F102" s="14" t="s">
        <v>573</v>
      </c>
      <c r="G102" s="14" t="s">
        <v>574</v>
      </c>
      <c r="H102" s="14" t="s">
        <v>575</v>
      </c>
      <c r="I102" s="14" t="s">
        <v>576</v>
      </c>
    </row>
    <row r="103" spans="1:9" ht="30.75" thickBot="1" x14ac:dyDescent="0.3">
      <c r="A103" s="13" t="s">
        <v>346</v>
      </c>
      <c r="B103" s="14">
        <v>250</v>
      </c>
      <c r="C103" s="14">
        <v>249</v>
      </c>
      <c r="D103" s="14">
        <v>308</v>
      </c>
      <c r="E103" s="14">
        <v>558</v>
      </c>
      <c r="F103" s="14">
        <v>558</v>
      </c>
      <c r="G103" s="15">
        <v>0.74</v>
      </c>
      <c r="H103" s="14" t="s">
        <v>577</v>
      </c>
      <c r="I103" s="14" t="s">
        <v>578</v>
      </c>
    </row>
    <row r="104" spans="1:9" ht="30.75" thickBot="1" x14ac:dyDescent="0.3">
      <c r="A104" s="13" t="s">
        <v>493</v>
      </c>
      <c r="B104" s="14">
        <v>39</v>
      </c>
      <c r="C104" s="14">
        <v>41</v>
      </c>
      <c r="D104" s="14">
        <v>57</v>
      </c>
      <c r="E104" s="14">
        <v>96</v>
      </c>
      <c r="F104" s="14">
        <v>96</v>
      </c>
      <c r="G104" s="15">
        <v>0.13</v>
      </c>
      <c r="H104" s="14" t="s">
        <v>579</v>
      </c>
      <c r="I104" s="14" t="s">
        <v>579</v>
      </c>
    </row>
    <row r="105" spans="1:9" ht="30.75" thickBot="1" x14ac:dyDescent="0.3">
      <c r="A105" s="13" t="s">
        <v>467</v>
      </c>
      <c r="B105" s="14">
        <v>35</v>
      </c>
      <c r="C105" s="14">
        <v>38</v>
      </c>
      <c r="D105" s="14">
        <v>32</v>
      </c>
      <c r="E105" s="14">
        <v>67</v>
      </c>
      <c r="F105" s="14">
        <v>67</v>
      </c>
      <c r="G105" s="15">
        <v>0.09</v>
      </c>
      <c r="H105" s="14" t="s">
        <v>580</v>
      </c>
      <c r="I105" s="14" t="s">
        <v>581</v>
      </c>
    </row>
    <row r="106" spans="1:9" ht="15.75" thickBot="1" x14ac:dyDescent="0.3">
      <c r="A106" s="13" t="s">
        <v>549</v>
      </c>
      <c r="B106" s="14">
        <v>7</v>
      </c>
      <c r="C106" s="14">
        <v>6</v>
      </c>
      <c r="D106" s="14">
        <v>8</v>
      </c>
      <c r="E106" s="14">
        <v>15</v>
      </c>
      <c r="F106" s="14">
        <v>0</v>
      </c>
      <c r="G106" s="15">
        <v>0</v>
      </c>
      <c r="H106" s="14" t="s">
        <v>582</v>
      </c>
      <c r="I106" s="14" t="s">
        <v>582</v>
      </c>
    </row>
    <row r="107" spans="1:9" ht="30.75" thickBot="1" x14ac:dyDescent="0.3">
      <c r="A107" s="13" t="s">
        <v>529</v>
      </c>
      <c r="B107" s="14">
        <v>5</v>
      </c>
      <c r="C107" s="14">
        <v>5</v>
      </c>
      <c r="D107" s="14">
        <v>5</v>
      </c>
      <c r="E107" s="14">
        <v>10</v>
      </c>
      <c r="F107" s="14">
        <v>10</v>
      </c>
      <c r="G107" s="15">
        <v>0.01</v>
      </c>
      <c r="H107" s="14" t="s">
        <v>583</v>
      </c>
      <c r="I107" s="14" t="s">
        <v>583</v>
      </c>
    </row>
    <row r="108" spans="1:9" ht="30.75" thickBot="1" x14ac:dyDescent="0.3">
      <c r="A108" s="13" t="s">
        <v>522</v>
      </c>
      <c r="B108" s="14">
        <v>3</v>
      </c>
      <c r="C108" s="14">
        <v>3</v>
      </c>
      <c r="D108" s="14">
        <v>7</v>
      </c>
      <c r="E108" s="14">
        <v>10</v>
      </c>
      <c r="F108" s="14">
        <v>10</v>
      </c>
      <c r="G108" s="15">
        <v>0.01</v>
      </c>
      <c r="H108" s="14" t="s">
        <v>584</v>
      </c>
      <c r="I108" s="14" t="s">
        <v>585</v>
      </c>
    </row>
    <row r="109" spans="1:9" ht="30.75" thickBot="1" x14ac:dyDescent="0.3">
      <c r="A109" s="13" t="s">
        <v>558</v>
      </c>
      <c r="B109" s="14">
        <v>1</v>
      </c>
      <c r="C109" s="14">
        <v>1</v>
      </c>
      <c r="D109" s="14">
        <v>4</v>
      </c>
      <c r="E109" s="14">
        <v>5</v>
      </c>
      <c r="F109" s="14">
        <v>5</v>
      </c>
      <c r="G109" s="15">
        <v>0.01</v>
      </c>
      <c r="H109" s="14" t="s">
        <v>586</v>
      </c>
      <c r="I109" s="14" t="s">
        <v>586</v>
      </c>
    </row>
    <row r="110" spans="1:9" ht="30.75" thickBot="1" x14ac:dyDescent="0.3">
      <c r="A110" s="13" t="s">
        <v>536</v>
      </c>
      <c r="B110" s="14">
        <v>2</v>
      </c>
      <c r="C110" s="14">
        <v>2</v>
      </c>
      <c r="D110" s="14">
        <v>2</v>
      </c>
      <c r="E110" s="14">
        <v>4</v>
      </c>
      <c r="F110" s="14">
        <v>4</v>
      </c>
      <c r="G110" s="15">
        <v>0.01</v>
      </c>
      <c r="H110" s="14" t="s">
        <v>587</v>
      </c>
      <c r="I110" s="14" t="s">
        <v>587</v>
      </c>
    </row>
    <row r="111" spans="1:9" ht="30.75" thickBot="1" x14ac:dyDescent="0.3">
      <c r="A111" s="13" t="s">
        <v>544</v>
      </c>
      <c r="B111" s="14">
        <v>2</v>
      </c>
      <c r="C111" s="14">
        <v>2</v>
      </c>
      <c r="D111" s="14">
        <v>2</v>
      </c>
      <c r="E111" s="14">
        <v>4</v>
      </c>
      <c r="F111" s="14">
        <v>4</v>
      </c>
      <c r="G111" s="15">
        <v>0.01</v>
      </c>
      <c r="H111" s="14" t="s">
        <v>588</v>
      </c>
      <c r="I111" s="14" t="s">
        <v>588</v>
      </c>
    </row>
    <row r="112" spans="1:9" ht="15.75" thickBot="1" x14ac:dyDescent="0.3">
      <c r="A112" s="16" t="s">
        <v>555</v>
      </c>
      <c r="B112" s="17">
        <v>4</v>
      </c>
      <c r="C112" s="17">
        <v>4</v>
      </c>
      <c r="D112" s="17">
        <v>0</v>
      </c>
      <c r="E112" s="17">
        <v>4</v>
      </c>
      <c r="F112" s="17">
        <v>0</v>
      </c>
      <c r="G112" s="18">
        <v>0</v>
      </c>
      <c r="H112" s="17" t="s">
        <v>589</v>
      </c>
      <c r="I112" s="17" t="s">
        <v>589</v>
      </c>
    </row>
    <row r="113" spans="1:9" ht="27" thickBot="1" x14ac:dyDescent="0.3">
      <c r="A113" s="19" t="s">
        <v>590</v>
      </c>
      <c r="B113" s="20">
        <v>348</v>
      </c>
      <c r="C113" s="20">
        <v>351</v>
      </c>
      <c r="D113" s="20">
        <v>425</v>
      </c>
      <c r="E113" s="20">
        <v>773</v>
      </c>
      <c r="F113" s="20">
        <v>754</v>
      </c>
      <c r="G113" s="21">
        <v>1</v>
      </c>
      <c r="H113" s="20" t="s">
        <v>591</v>
      </c>
      <c r="I113" s="20" t="s">
        <v>592</v>
      </c>
    </row>
    <row r="114" spans="1:9" ht="15.75" thickBot="1" x14ac:dyDescent="0.3">
      <c r="A114" s="1"/>
      <c r="B114" s="1"/>
      <c r="C114" s="1"/>
      <c r="D114" s="1"/>
      <c r="E114" s="1"/>
      <c r="F114" s="1"/>
      <c r="G114" s="1"/>
      <c r="H114" s="1"/>
    </row>
    <row r="115" spans="1:9" ht="15.75" thickBot="1" x14ac:dyDescent="0.3">
      <c r="A115" s="1"/>
      <c r="B115" s="1"/>
      <c r="C115" s="1"/>
      <c r="D115" s="1"/>
      <c r="E115" s="1"/>
      <c r="F115" s="1"/>
      <c r="G115" s="1"/>
      <c r="H115" s="1"/>
    </row>
    <row r="116" spans="1:9" ht="15.75" thickBot="1" x14ac:dyDescent="0.3">
      <c r="A116" s="1"/>
      <c r="B116" s="1"/>
      <c r="C116" s="1"/>
      <c r="D116" s="1"/>
      <c r="E116" s="1"/>
      <c r="F116" s="1"/>
      <c r="G116" s="1"/>
      <c r="H116" s="1"/>
    </row>
    <row r="117" spans="1:9" ht="15.75" thickBot="1" x14ac:dyDescent="0.3">
      <c r="A117" s="1"/>
      <c r="B117" s="1"/>
      <c r="C117" s="1"/>
      <c r="D117" s="1"/>
      <c r="E117" s="1"/>
      <c r="F117" s="1"/>
      <c r="G117" s="1"/>
      <c r="H117" s="1"/>
    </row>
    <row r="118" spans="1:9" ht="15.75" thickBot="1" x14ac:dyDescent="0.3">
      <c r="A118" s="1"/>
      <c r="B118" s="1"/>
      <c r="C118" s="1"/>
      <c r="D118" s="1"/>
      <c r="E118" s="1"/>
      <c r="F118" s="1"/>
      <c r="G118" s="1"/>
      <c r="H118" s="1"/>
    </row>
    <row r="119" spans="1:9" ht="15.75" thickBot="1" x14ac:dyDescent="0.3">
      <c r="A119" s="1"/>
      <c r="B119" s="1"/>
      <c r="C119" s="1"/>
      <c r="D119" s="1"/>
      <c r="E119" s="1"/>
      <c r="F119" s="1"/>
      <c r="G119" s="1"/>
      <c r="H119" s="1"/>
    </row>
    <row r="120" spans="1:9" ht="15.75" thickBot="1" x14ac:dyDescent="0.3">
      <c r="A120" s="1"/>
      <c r="B120" s="1"/>
      <c r="C120" s="1"/>
      <c r="D120" s="1"/>
      <c r="E120" s="1"/>
      <c r="F120" s="1"/>
      <c r="G120" s="1"/>
      <c r="H120" s="1"/>
    </row>
    <row r="121" spans="1:9" ht="15.75" thickBot="1" x14ac:dyDescent="0.3">
      <c r="A121" s="1"/>
      <c r="B121" s="1"/>
      <c r="C121" s="1"/>
      <c r="D121" s="1"/>
      <c r="E121" s="1"/>
      <c r="F121" s="1"/>
      <c r="G121" s="1"/>
      <c r="H121" s="1"/>
    </row>
    <row r="122" spans="1:9" ht="15.75" thickBot="1" x14ac:dyDescent="0.3">
      <c r="A122" s="1"/>
      <c r="B122" s="1"/>
      <c r="C122" s="1"/>
      <c r="D122" s="1"/>
      <c r="E122" s="1"/>
      <c r="F122" s="1"/>
      <c r="G122" s="1"/>
      <c r="H122" s="1"/>
    </row>
    <row r="123" spans="1:9" ht="15.75" thickBot="1" x14ac:dyDescent="0.3">
      <c r="A123" s="1"/>
      <c r="B123" s="1"/>
      <c r="C123" s="1"/>
      <c r="D123" s="1"/>
      <c r="E123" s="1"/>
      <c r="F123" s="1"/>
      <c r="G123" s="1"/>
      <c r="H123" s="1"/>
    </row>
    <row r="124" spans="1:9" ht="15.75" thickBot="1" x14ac:dyDescent="0.3">
      <c r="A124" s="1"/>
      <c r="B124" s="1"/>
      <c r="C124" s="1"/>
      <c r="D124" s="1"/>
      <c r="E124" s="1"/>
      <c r="F124" s="1"/>
      <c r="G124" s="1"/>
      <c r="H124" s="1"/>
    </row>
    <row r="125" spans="1:9" ht="15.75" thickBot="1" x14ac:dyDescent="0.3">
      <c r="A125" s="1"/>
      <c r="B125" s="1"/>
      <c r="C125" s="1"/>
      <c r="D125" s="1"/>
      <c r="E125" s="1"/>
      <c r="F125" s="1"/>
      <c r="G125" s="1"/>
      <c r="H125" s="1"/>
    </row>
    <row r="126" spans="1:9" ht="15.75" thickBot="1" x14ac:dyDescent="0.3">
      <c r="A126" s="1"/>
      <c r="B126" s="1"/>
      <c r="C126" s="1"/>
      <c r="D126" s="1"/>
      <c r="E126" s="1"/>
      <c r="F126" s="1"/>
      <c r="G126" s="1"/>
      <c r="H126" s="1"/>
    </row>
    <row r="127" spans="1:9" ht="15.75" thickBot="1" x14ac:dyDescent="0.3">
      <c r="A127" s="1"/>
      <c r="B127" s="1"/>
      <c r="C127" s="1"/>
      <c r="D127" s="1"/>
      <c r="E127" s="1"/>
      <c r="F127" s="1"/>
      <c r="G127" s="1"/>
      <c r="H127" s="1"/>
    </row>
    <row r="128" spans="1:9" ht="15.75" thickBot="1" x14ac:dyDescent="0.3">
      <c r="A128" s="1"/>
      <c r="B128" s="1"/>
      <c r="C128" s="1"/>
      <c r="D128" s="1"/>
      <c r="E128" s="1"/>
      <c r="F128" s="1"/>
      <c r="G128" s="1"/>
      <c r="H128" s="1"/>
    </row>
    <row r="129" spans="1:8" ht="15.75" thickBot="1" x14ac:dyDescent="0.3">
      <c r="A129" s="1"/>
      <c r="B129" s="1"/>
      <c r="C129" s="1"/>
      <c r="D129" s="1"/>
      <c r="E129" s="1"/>
      <c r="F129" s="1"/>
      <c r="G129" s="1"/>
      <c r="H129" s="1"/>
    </row>
    <row r="130" spans="1:8" ht="15.75" thickBot="1" x14ac:dyDescent="0.3">
      <c r="A130" s="1"/>
      <c r="B130" s="1"/>
      <c r="C130" s="1"/>
      <c r="D130" s="1"/>
      <c r="E130" s="1"/>
      <c r="F130" s="1"/>
      <c r="G130" s="1"/>
      <c r="H130" s="1"/>
    </row>
    <row r="131" spans="1:8" ht="15.75" thickBot="1" x14ac:dyDescent="0.3">
      <c r="A131" s="1"/>
      <c r="B131" s="1"/>
      <c r="C131" s="1"/>
      <c r="D131" s="1"/>
      <c r="E131" s="1"/>
      <c r="F131" s="1"/>
      <c r="G131" s="1"/>
      <c r="H131" s="1"/>
    </row>
    <row r="132" spans="1:8" ht="15.75" thickBot="1" x14ac:dyDescent="0.3">
      <c r="A132" s="1"/>
      <c r="B132" s="1"/>
      <c r="C132" s="1"/>
      <c r="D132" s="1"/>
      <c r="E132" s="1"/>
      <c r="F132" s="1"/>
      <c r="G132" s="1"/>
      <c r="H132" s="1"/>
    </row>
    <row r="133" spans="1:8" ht="15.75" thickBot="1" x14ac:dyDescent="0.3">
      <c r="A133" s="1"/>
      <c r="B133" s="1"/>
      <c r="C133" s="1"/>
      <c r="D133" s="1"/>
      <c r="E133" s="1"/>
      <c r="F133" s="1"/>
      <c r="G133" s="1"/>
      <c r="H133" s="1"/>
    </row>
    <row r="134" spans="1:8" ht="15.75" thickBot="1" x14ac:dyDescent="0.3">
      <c r="A134" s="1"/>
      <c r="B134" s="1"/>
      <c r="C134" s="1"/>
      <c r="D134" s="1"/>
      <c r="E134" s="1"/>
      <c r="F134" s="1"/>
      <c r="G134" s="1"/>
      <c r="H134" s="1"/>
    </row>
    <row r="135" spans="1:8" ht="15.75" thickBot="1" x14ac:dyDescent="0.3">
      <c r="A135" s="1"/>
      <c r="B135" s="1"/>
      <c r="C135" s="1"/>
      <c r="D135" s="1"/>
      <c r="E135" s="1"/>
      <c r="F135" s="1"/>
      <c r="G135" s="1"/>
      <c r="H135" s="1"/>
    </row>
    <row r="136" spans="1:8" ht="15.75" thickBot="1" x14ac:dyDescent="0.3">
      <c r="A136" s="1"/>
      <c r="B136" s="1"/>
      <c r="C136" s="1"/>
      <c r="D136" s="1"/>
      <c r="E136" s="1"/>
      <c r="F136" s="1"/>
      <c r="G136" s="1"/>
      <c r="H136" s="1"/>
    </row>
    <row r="137" spans="1:8" ht="15.75" thickBot="1" x14ac:dyDescent="0.3">
      <c r="A137" s="1"/>
      <c r="B137" s="1"/>
      <c r="C137" s="1"/>
      <c r="D137" s="1"/>
      <c r="E137" s="1"/>
      <c r="F137" s="1"/>
      <c r="G137" s="1"/>
      <c r="H137" s="1"/>
    </row>
  </sheetData>
  <mergeCells count="18">
    <mergeCell ref="G100:I100"/>
    <mergeCell ref="B101:F101"/>
    <mergeCell ref="G101:I101"/>
    <mergeCell ref="A100:F100"/>
    <mergeCell ref="B84:B85"/>
    <mergeCell ref="B87:B88"/>
    <mergeCell ref="B90:B92"/>
    <mergeCell ref="B94:B97"/>
    <mergeCell ref="A1:B1"/>
    <mergeCell ref="A2:B2"/>
    <mergeCell ref="A3:B3"/>
    <mergeCell ref="A4:B4"/>
    <mergeCell ref="B7:B40"/>
    <mergeCell ref="B42:B55"/>
    <mergeCell ref="B57:B67"/>
    <mergeCell ref="B69:B70"/>
    <mergeCell ref="B72:B76"/>
    <mergeCell ref="B78:B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DEF0-299B-4366-BF63-EFEF49A28276}">
  <dimension ref="A1:I101"/>
  <sheetViews>
    <sheetView workbookViewId="0">
      <selection activeCell="E8" sqref="E8"/>
    </sheetView>
  </sheetViews>
  <sheetFormatPr baseColWidth="10" defaultRowHeight="15" x14ac:dyDescent="0.25"/>
  <sheetData>
    <row r="1" spans="1:9" ht="26.25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</row>
    <row r="2" spans="1:9" ht="26.25" thickBot="1" x14ac:dyDescent="0.3">
      <c r="A2" s="5" t="s">
        <v>593</v>
      </c>
      <c r="B2" s="1"/>
      <c r="C2" s="1"/>
      <c r="D2" s="1"/>
      <c r="E2" s="1"/>
      <c r="F2" s="1"/>
      <c r="G2" s="1"/>
      <c r="H2" s="1"/>
      <c r="I2" s="1"/>
    </row>
    <row r="3" spans="1:9" ht="15.75" thickBot="1" x14ac:dyDescent="0.3">
      <c r="A3" s="5" t="s">
        <v>594</v>
      </c>
      <c r="B3" s="1"/>
      <c r="C3" s="1"/>
      <c r="D3" s="1"/>
      <c r="E3" s="1"/>
      <c r="F3" s="1"/>
      <c r="G3" s="1"/>
      <c r="H3" s="1"/>
      <c r="I3" s="1"/>
    </row>
    <row r="4" spans="1:9" ht="15.75" thickBot="1" x14ac:dyDescent="0.3">
      <c r="A4" s="1"/>
      <c r="B4" s="7"/>
      <c r="C4" s="7"/>
      <c r="D4" s="7"/>
      <c r="E4" s="7"/>
      <c r="F4" s="7"/>
      <c r="G4" s="7"/>
      <c r="H4" s="7"/>
      <c r="I4" s="1"/>
    </row>
    <row r="5" spans="1:9" ht="26.25" thickBot="1" x14ac:dyDescent="0.3">
      <c r="A5" s="8"/>
      <c r="B5" s="9"/>
      <c r="C5" s="10" t="s">
        <v>595</v>
      </c>
      <c r="D5" s="10" t="s">
        <v>596</v>
      </c>
      <c r="E5" s="10" t="s">
        <v>597</v>
      </c>
      <c r="F5" s="10" t="s">
        <v>598</v>
      </c>
      <c r="G5" s="10" t="s">
        <v>599</v>
      </c>
      <c r="H5" s="10" t="s">
        <v>600</v>
      </c>
      <c r="I5" s="1"/>
    </row>
    <row r="6" spans="1:9" ht="15.75" thickBot="1" x14ac:dyDescent="0.3">
      <c r="A6" s="8"/>
      <c r="B6" s="11" t="s">
        <v>601</v>
      </c>
      <c r="C6" s="12" t="s">
        <v>347</v>
      </c>
      <c r="D6" s="12">
        <v>359</v>
      </c>
      <c r="E6" s="12">
        <v>306</v>
      </c>
      <c r="F6" s="12">
        <v>51</v>
      </c>
      <c r="G6" s="12">
        <v>2</v>
      </c>
      <c r="H6" s="12">
        <v>0</v>
      </c>
      <c r="I6" s="1"/>
    </row>
    <row r="7" spans="1:9" ht="26.25" thickBot="1" x14ac:dyDescent="0.3">
      <c r="A7" s="8"/>
      <c r="B7" s="91"/>
      <c r="C7" s="9" t="s">
        <v>602</v>
      </c>
      <c r="D7" s="9">
        <v>56</v>
      </c>
      <c r="E7" s="9">
        <v>50</v>
      </c>
      <c r="F7" s="9">
        <v>6</v>
      </c>
      <c r="G7" s="9">
        <v>0</v>
      </c>
      <c r="H7" s="9">
        <v>0</v>
      </c>
      <c r="I7" s="1"/>
    </row>
    <row r="8" spans="1:9" ht="39" thickBot="1" x14ac:dyDescent="0.3">
      <c r="A8" s="8"/>
      <c r="B8" s="92"/>
      <c r="C8" s="9" t="s">
        <v>603</v>
      </c>
      <c r="D8" s="9">
        <v>24</v>
      </c>
      <c r="E8" s="9">
        <v>17</v>
      </c>
      <c r="F8" s="9">
        <v>6</v>
      </c>
      <c r="G8" s="9">
        <v>1</v>
      </c>
      <c r="H8" s="9">
        <v>0</v>
      </c>
      <c r="I8" s="1"/>
    </row>
    <row r="9" spans="1:9" ht="39" thickBot="1" x14ac:dyDescent="0.3">
      <c r="A9" s="8"/>
      <c r="B9" s="92"/>
      <c r="C9" s="9" t="s">
        <v>604</v>
      </c>
      <c r="D9" s="9">
        <v>40</v>
      </c>
      <c r="E9" s="9">
        <v>34</v>
      </c>
      <c r="F9" s="9">
        <v>6</v>
      </c>
      <c r="G9" s="9">
        <v>0</v>
      </c>
      <c r="H9" s="9">
        <v>0</v>
      </c>
      <c r="I9" s="1"/>
    </row>
    <row r="10" spans="1:9" ht="39" thickBot="1" x14ac:dyDescent="0.3">
      <c r="A10" s="8"/>
      <c r="B10" s="92"/>
      <c r="C10" s="9" t="s">
        <v>605</v>
      </c>
      <c r="D10" s="9">
        <v>32</v>
      </c>
      <c r="E10" s="9">
        <v>28</v>
      </c>
      <c r="F10" s="9">
        <v>4</v>
      </c>
      <c r="G10" s="9">
        <v>0</v>
      </c>
      <c r="H10" s="9">
        <v>0</v>
      </c>
      <c r="I10" s="1"/>
    </row>
    <row r="11" spans="1:9" ht="39" thickBot="1" x14ac:dyDescent="0.3">
      <c r="A11" s="8"/>
      <c r="B11" s="92"/>
      <c r="C11" s="9" t="s">
        <v>606</v>
      </c>
      <c r="D11" s="9">
        <v>28</v>
      </c>
      <c r="E11" s="9">
        <v>25</v>
      </c>
      <c r="F11" s="9">
        <v>3</v>
      </c>
      <c r="G11" s="9">
        <v>0</v>
      </c>
      <c r="H11" s="9">
        <v>0</v>
      </c>
      <c r="I11" s="1"/>
    </row>
    <row r="12" spans="1:9" ht="26.25" thickBot="1" x14ac:dyDescent="0.3">
      <c r="A12" s="8"/>
      <c r="B12" s="92"/>
      <c r="C12" s="9" t="s">
        <v>607</v>
      </c>
      <c r="D12" s="9">
        <v>50</v>
      </c>
      <c r="E12" s="9">
        <v>44</v>
      </c>
      <c r="F12" s="9">
        <v>6</v>
      </c>
      <c r="G12" s="9">
        <v>0</v>
      </c>
      <c r="H12" s="9">
        <v>0</v>
      </c>
      <c r="I12" s="1"/>
    </row>
    <row r="13" spans="1:9" ht="26.25" thickBot="1" x14ac:dyDescent="0.3">
      <c r="A13" s="8"/>
      <c r="B13" s="93"/>
      <c r="C13" s="9" t="s">
        <v>608</v>
      </c>
      <c r="D13" s="9">
        <v>129</v>
      </c>
      <c r="E13" s="9">
        <v>108</v>
      </c>
      <c r="F13" s="9">
        <v>20</v>
      </c>
      <c r="G13" s="9">
        <v>1</v>
      </c>
      <c r="H13" s="9">
        <v>0</v>
      </c>
      <c r="I13" s="1"/>
    </row>
    <row r="14" spans="1:9" ht="15.75" thickBot="1" x14ac:dyDescent="0.3">
      <c r="A14" s="8"/>
      <c r="B14" s="11" t="s">
        <v>609</v>
      </c>
      <c r="C14" s="12" t="s">
        <v>347</v>
      </c>
      <c r="D14" s="12">
        <v>41</v>
      </c>
      <c r="E14" s="12">
        <v>38</v>
      </c>
      <c r="F14" s="12">
        <v>3</v>
      </c>
      <c r="G14" s="12">
        <v>0</v>
      </c>
      <c r="H14" s="12">
        <v>0</v>
      </c>
      <c r="I14" s="1"/>
    </row>
    <row r="15" spans="1:9" ht="26.25" thickBot="1" x14ac:dyDescent="0.3">
      <c r="A15" s="8"/>
      <c r="B15" s="91"/>
      <c r="C15" s="9" t="s">
        <v>602</v>
      </c>
      <c r="D15" s="9">
        <v>5</v>
      </c>
      <c r="E15" s="9">
        <v>5</v>
      </c>
      <c r="F15" s="9">
        <v>0</v>
      </c>
      <c r="G15" s="9">
        <v>0</v>
      </c>
      <c r="H15" s="9">
        <v>0</v>
      </c>
      <c r="I15" s="1"/>
    </row>
    <row r="16" spans="1:9" ht="39" thickBot="1" x14ac:dyDescent="0.3">
      <c r="A16" s="8"/>
      <c r="B16" s="92"/>
      <c r="C16" s="9" t="s">
        <v>603</v>
      </c>
      <c r="D16" s="9">
        <v>4</v>
      </c>
      <c r="E16" s="9">
        <v>4</v>
      </c>
      <c r="F16" s="9">
        <v>0</v>
      </c>
      <c r="G16" s="9">
        <v>0</v>
      </c>
      <c r="H16" s="9">
        <v>0</v>
      </c>
      <c r="I16" s="1"/>
    </row>
    <row r="17" spans="1:9" ht="39" thickBot="1" x14ac:dyDescent="0.3">
      <c r="A17" s="8"/>
      <c r="B17" s="92"/>
      <c r="C17" s="9" t="s">
        <v>604</v>
      </c>
      <c r="D17" s="9">
        <v>7</v>
      </c>
      <c r="E17" s="9">
        <v>6</v>
      </c>
      <c r="F17" s="9">
        <v>1</v>
      </c>
      <c r="G17" s="9">
        <v>0</v>
      </c>
      <c r="H17" s="9">
        <v>0</v>
      </c>
      <c r="I17" s="1"/>
    </row>
    <row r="18" spans="1:9" ht="39" thickBot="1" x14ac:dyDescent="0.3">
      <c r="A18" s="8"/>
      <c r="B18" s="92"/>
      <c r="C18" s="9" t="s">
        <v>605</v>
      </c>
      <c r="D18" s="9">
        <v>4</v>
      </c>
      <c r="E18" s="9">
        <v>4</v>
      </c>
      <c r="F18" s="9">
        <v>0</v>
      </c>
      <c r="G18" s="9">
        <v>0</v>
      </c>
      <c r="H18" s="9">
        <v>0</v>
      </c>
      <c r="I18" s="1"/>
    </row>
    <row r="19" spans="1:9" ht="39" thickBot="1" x14ac:dyDescent="0.3">
      <c r="A19" s="8"/>
      <c r="B19" s="92"/>
      <c r="C19" s="9" t="s">
        <v>606</v>
      </c>
      <c r="D19" s="9">
        <v>8</v>
      </c>
      <c r="E19" s="9">
        <v>6</v>
      </c>
      <c r="F19" s="9">
        <v>2</v>
      </c>
      <c r="G19" s="9">
        <v>0</v>
      </c>
      <c r="H19" s="9">
        <v>0</v>
      </c>
      <c r="I19" s="1"/>
    </row>
    <row r="20" spans="1:9" ht="26.25" thickBot="1" x14ac:dyDescent="0.3">
      <c r="A20" s="8"/>
      <c r="B20" s="92"/>
      <c r="C20" s="9" t="s">
        <v>607</v>
      </c>
      <c r="D20" s="9">
        <v>8</v>
      </c>
      <c r="E20" s="9">
        <v>8</v>
      </c>
      <c r="F20" s="9">
        <v>0</v>
      </c>
      <c r="G20" s="9">
        <v>0</v>
      </c>
      <c r="H20" s="9">
        <v>0</v>
      </c>
      <c r="I20" s="1"/>
    </row>
    <row r="21" spans="1:9" ht="26.25" thickBot="1" x14ac:dyDescent="0.3">
      <c r="A21" s="8"/>
      <c r="B21" s="93"/>
      <c r="C21" s="9" t="s">
        <v>608</v>
      </c>
      <c r="D21" s="9">
        <v>5</v>
      </c>
      <c r="E21" s="9">
        <v>5</v>
      </c>
      <c r="F21" s="9">
        <v>0</v>
      </c>
      <c r="G21" s="9">
        <v>0</v>
      </c>
      <c r="H21" s="9">
        <v>0</v>
      </c>
      <c r="I21" s="1"/>
    </row>
    <row r="22" spans="1:9" ht="15.75" thickBot="1" x14ac:dyDescent="0.3">
      <c r="A22" s="8"/>
      <c r="B22" s="11" t="s">
        <v>610</v>
      </c>
      <c r="C22" s="12" t="s">
        <v>347</v>
      </c>
      <c r="D22" s="12">
        <v>46</v>
      </c>
      <c r="E22" s="12">
        <v>34</v>
      </c>
      <c r="F22" s="12">
        <v>12</v>
      </c>
      <c r="G22" s="12">
        <v>0</v>
      </c>
      <c r="H22" s="12">
        <v>0</v>
      </c>
      <c r="I22" s="1"/>
    </row>
    <row r="23" spans="1:9" ht="26.25" thickBot="1" x14ac:dyDescent="0.3">
      <c r="A23" s="8"/>
      <c r="B23" s="91"/>
      <c r="C23" s="9" t="s">
        <v>602</v>
      </c>
      <c r="D23" s="9">
        <v>5</v>
      </c>
      <c r="E23" s="9">
        <v>5</v>
      </c>
      <c r="F23" s="9">
        <v>0</v>
      </c>
      <c r="G23" s="9">
        <v>0</v>
      </c>
      <c r="H23" s="9">
        <v>0</v>
      </c>
      <c r="I23" s="1"/>
    </row>
    <row r="24" spans="1:9" ht="39" thickBot="1" x14ac:dyDescent="0.3">
      <c r="A24" s="8"/>
      <c r="B24" s="92"/>
      <c r="C24" s="9" t="s">
        <v>603</v>
      </c>
      <c r="D24" s="9">
        <v>7</v>
      </c>
      <c r="E24" s="9">
        <v>3</v>
      </c>
      <c r="F24" s="9">
        <v>4</v>
      </c>
      <c r="G24" s="9">
        <v>0</v>
      </c>
      <c r="H24" s="9">
        <v>0</v>
      </c>
      <c r="I24" s="1"/>
    </row>
    <row r="25" spans="1:9" ht="39" thickBot="1" x14ac:dyDescent="0.3">
      <c r="A25" s="8"/>
      <c r="B25" s="92"/>
      <c r="C25" s="9" t="s">
        <v>604</v>
      </c>
      <c r="D25" s="9">
        <v>7</v>
      </c>
      <c r="E25" s="9">
        <v>6</v>
      </c>
      <c r="F25" s="9">
        <v>1</v>
      </c>
      <c r="G25" s="9">
        <v>0</v>
      </c>
      <c r="H25" s="9">
        <v>0</v>
      </c>
      <c r="I25" s="1"/>
    </row>
    <row r="26" spans="1:9" ht="39" thickBot="1" x14ac:dyDescent="0.3">
      <c r="A26" s="8"/>
      <c r="B26" s="92"/>
      <c r="C26" s="9" t="s">
        <v>605</v>
      </c>
      <c r="D26" s="9">
        <v>8</v>
      </c>
      <c r="E26" s="9">
        <v>5</v>
      </c>
      <c r="F26" s="9">
        <v>3</v>
      </c>
      <c r="G26" s="9">
        <v>0</v>
      </c>
      <c r="H26" s="9">
        <v>0</v>
      </c>
      <c r="I26" s="1"/>
    </row>
    <row r="27" spans="1:9" ht="39" thickBot="1" x14ac:dyDescent="0.3">
      <c r="A27" s="8"/>
      <c r="B27" s="92"/>
      <c r="C27" s="9" t="s">
        <v>606</v>
      </c>
      <c r="D27" s="9">
        <v>6</v>
      </c>
      <c r="E27" s="9">
        <v>4</v>
      </c>
      <c r="F27" s="9">
        <v>2</v>
      </c>
      <c r="G27" s="9">
        <v>0</v>
      </c>
      <c r="H27" s="9">
        <v>0</v>
      </c>
      <c r="I27" s="1"/>
    </row>
    <row r="28" spans="1:9" ht="26.25" thickBot="1" x14ac:dyDescent="0.3">
      <c r="A28" s="8"/>
      <c r="B28" s="92"/>
      <c r="C28" s="9" t="s">
        <v>607</v>
      </c>
      <c r="D28" s="9">
        <v>9</v>
      </c>
      <c r="E28" s="9">
        <v>8</v>
      </c>
      <c r="F28" s="9">
        <v>1</v>
      </c>
      <c r="G28" s="9">
        <v>0</v>
      </c>
      <c r="H28" s="9">
        <v>0</v>
      </c>
      <c r="I28" s="1"/>
    </row>
    <row r="29" spans="1:9" ht="26.25" thickBot="1" x14ac:dyDescent="0.3">
      <c r="A29" s="8"/>
      <c r="B29" s="93"/>
      <c r="C29" s="9" t="s">
        <v>608</v>
      </c>
      <c r="D29" s="9">
        <v>4</v>
      </c>
      <c r="E29" s="9">
        <v>3</v>
      </c>
      <c r="F29" s="9">
        <v>1</v>
      </c>
      <c r="G29" s="9">
        <v>0</v>
      </c>
      <c r="H29" s="9">
        <v>0</v>
      </c>
      <c r="I29" s="1"/>
    </row>
    <row r="30" spans="1:9" ht="15.75" thickBot="1" x14ac:dyDescent="0.3">
      <c r="A30" s="8"/>
      <c r="B30" s="11" t="s">
        <v>611</v>
      </c>
      <c r="C30" s="12" t="s">
        <v>347</v>
      </c>
      <c r="D30" s="12">
        <v>6</v>
      </c>
      <c r="E30" s="12">
        <v>6</v>
      </c>
      <c r="F30" s="12">
        <v>0</v>
      </c>
      <c r="G30" s="12">
        <v>0</v>
      </c>
      <c r="H30" s="12">
        <v>0</v>
      </c>
      <c r="I30" s="1"/>
    </row>
    <row r="31" spans="1:9" ht="26.25" thickBot="1" x14ac:dyDescent="0.3">
      <c r="A31" s="8"/>
      <c r="B31" s="91"/>
      <c r="C31" s="9" t="s">
        <v>602</v>
      </c>
      <c r="D31" s="9">
        <v>2</v>
      </c>
      <c r="E31" s="9">
        <v>2</v>
      </c>
      <c r="F31" s="9">
        <v>0</v>
      </c>
      <c r="G31" s="9">
        <v>0</v>
      </c>
      <c r="H31" s="9">
        <v>0</v>
      </c>
      <c r="I31" s="1"/>
    </row>
    <row r="32" spans="1:9" ht="39" thickBot="1" x14ac:dyDescent="0.3">
      <c r="A32" s="8"/>
      <c r="B32" s="92"/>
      <c r="C32" s="9" t="s">
        <v>603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1"/>
    </row>
    <row r="33" spans="1:9" ht="39" thickBot="1" x14ac:dyDescent="0.3">
      <c r="A33" s="8"/>
      <c r="B33" s="92"/>
      <c r="C33" s="9" t="s">
        <v>604</v>
      </c>
      <c r="D33" s="9">
        <v>1</v>
      </c>
      <c r="E33" s="9">
        <v>1</v>
      </c>
      <c r="F33" s="9">
        <v>0</v>
      </c>
      <c r="G33" s="9">
        <v>0</v>
      </c>
      <c r="H33" s="9">
        <v>0</v>
      </c>
      <c r="I33" s="1"/>
    </row>
    <row r="34" spans="1:9" ht="39" thickBot="1" x14ac:dyDescent="0.3">
      <c r="A34" s="8"/>
      <c r="B34" s="92"/>
      <c r="C34" s="9" t="s">
        <v>605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1"/>
    </row>
    <row r="35" spans="1:9" ht="39" thickBot="1" x14ac:dyDescent="0.3">
      <c r="A35" s="8"/>
      <c r="B35" s="92"/>
      <c r="C35" s="9" t="s">
        <v>606</v>
      </c>
      <c r="D35" s="9">
        <v>3</v>
      </c>
      <c r="E35" s="9">
        <v>3</v>
      </c>
      <c r="F35" s="9">
        <v>0</v>
      </c>
      <c r="G35" s="9">
        <v>0</v>
      </c>
      <c r="H35" s="9">
        <v>0</v>
      </c>
      <c r="I35" s="1"/>
    </row>
    <row r="36" spans="1:9" ht="26.25" thickBot="1" x14ac:dyDescent="0.3">
      <c r="A36" s="8"/>
      <c r="B36" s="92"/>
      <c r="C36" s="9" t="s">
        <v>607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1"/>
    </row>
    <row r="37" spans="1:9" ht="26.25" thickBot="1" x14ac:dyDescent="0.3">
      <c r="A37" s="8"/>
      <c r="B37" s="93"/>
      <c r="C37" s="9" t="s">
        <v>608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1"/>
    </row>
    <row r="38" spans="1:9" ht="15.75" thickBot="1" x14ac:dyDescent="0.3">
      <c r="A38" s="8"/>
      <c r="B38" s="11" t="s">
        <v>612</v>
      </c>
      <c r="C38" s="12" t="s">
        <v>347</v>
      </c>
      <c r="D38" s="12">
        <v>2</v>
      </c>
      <c r="E38" s="12">
        <v>2</v>
      </c>
      <c r="F38" s="12">
        <v>0</v>
      </c>
      <c r="G38" s="12">
        <v>0</v>
      </c>
      <c r="H38" s="12">
        <v>0</v>
      </c>
      <c r="I38" s="1"/>
    </row>
    <row r="39" spans="1:9" ht="26.25" thickBot="1" x14ac:dyDescent="0.3">
      <c r="A39" s="8"/>
      <c r="B39" s="91"/>
      <c r="C39" s="9" t="s">
        <v>602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"/>
    </row>
    <row r="40" spans="1:9" ht="39" thickBot="1" x14ac:dyDescent="0.3">
      <c r="A40" s="8"/>
      <c r="B40" s="92"/>
      <c r="C40" s="9" t="s">
        <v>603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"/>
    </row>
    <row r="41" spans="1:9" ht="39" thickBot="1" x14ac:dyDescent="0.3">
      <c r="A41" s="8"/>
      <c r="B41" s="92"/>
      <c r="C41" s="9" t="s">
        <v>604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"/>
    </row>
    <row r="42" spans="1:9" ht="39" thickBot="1" x14ac:dyDescent="0.3">
      <c r="A42" s="8"/>
      <c r="B42" s="92"/>
      <c r="C42" s="9" t="s">
        <v>605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"/>
    </row>
    <row r="43" spans="1:9" ht="39" thickBot="1" x14ac:dyDescent="0.3">
      <c r="A43" s="8"/>
      <c r="B43" s="92"/>
      <c r="C43" s="9" t="s">
        <v>606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"/>
    </row>
    <row r="44" spans="1:9" ht="26.25" thickBot="1" x14ac:dyDescent="0.3">
      <c r="A44" s="8"/>
      <c r="B44" s="92"/>
      <c r="C44" s="9" t="s">
        <v>607</v>
      </c>
      <c r="D44" s="9">
        <v>1</v>
      </c>
      <c r="E44" s="9">
        <v>1</v>
      </c>
      <c r="F44" s="9">
        <v>0</v>
      </c>
      <c r="G44" s="9">
        <v>0</v>
      </c>
      <c r="H44" s="9">
        <v>0</v>
      </c>
      <c r="I44" s="1"/>
    </row>
    <row r="45" spans="1:9" ht="26.25" thickBot="1" x14ac:dyDescent="0.3">
      <c r="A45" s="8"/>
      <c r="B45" s="93"/>
      <c r="C45" s="9" t="s">
        <v>608</v>
      </c>
      <c r="D45" s="9">
        <v>1</v>
      </c>
      <c r="E45" s="9">
        <v>1</v>
      </c>
      <c r="F45" s="9">
        <v>0</v>
      </c>
      <c r="G45" s="9">
        <v>0</v>
      </c>
      <c r="H45" s="9">
        <v>0</v>
      </c>
      <c r="I45" s="1"/>
    </row>
    <row r="46" spans="1:9" ht="15.75" thickBot="1" x14ac:dyDescent="0.3">
      <c r="A46" s="8"/>
      <c r="B46" s="11" t="s">
        <v>613</v>
      </c>
      <c r="C46" s="12" t="s">
        <v>347</v>
      </c>
      <c r="D46" s="12">
        <v>4</v>
      </c>
      <c r="E46" s="12">
        <v>4</v>
      </c>
      <c r="F46" s="12">
        <v>0</v>
      </c>
      <c r="G46" s="12">
        <v>0</v>
      </c>
      <c r="H46" s="12">
        <v>0</v>
      </c>
      <c r="I46" s="1"/>
    </row>
    <row r="47" spans="1:9" ht="26.25" thickBot="1" x14ac:dyDescent="0.3">
      <c r="A47" s="8"/>
      <c r="B47" s="91"/>
      <c r="C47" s="9" t="s">
        <v>602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1"/>
    </row>
    <row r="48" spans="1:9" ht="39" thickBot="1" x14ac:dyDescent="0.3">
      <c r="A48" s="8"/>
      <c r="B48" s="92"/>
      <c r="C48" s="9" t="s">
        <v>603</v>
      </c>
      <c r="D48" s="9">
        <v>2</v>
      </c>
      <c r="E48" s="9">
        <v>2</v>
      </c>
      <c r="F48" s="9">
        <v>0</v>
      </c>
      <c r="G48" s="9">
        <v>0</v>
      </c>
      <c r="H48" s="9">
        <v>0</v>
      </c>
      <c r="I48" s="1"/>
    </row>
    <row r="49" spans="1:9" ht="39" thickBot="1" x14ac:dyDescent="0.3">
      <c r="A49" s="8"/>
      <c r="B49" s="92"/>
      <c r="C49" s="9" t="s">
        <v>604</v>
      </c>
      <c r="D49" s="9">
        <v>1</v>
      </c>
      <c r="E49" s="9">
        <v>1</v>
      </c>
      <c r="F49" s="9">
        <v>0</v>
      </c>
      <c r="G49" s="9">
        <v>0</v>
      </c>
      <c r="H49" s="9">
        <v>0</v>
      </c>
      <c r="I49" s="1"/>
    </row>
    <row r="50" spans="1:9" ht="39" thickBot="1" x14ac:dyDescent="0.3">
      <c r="A50" s="8"/>
      <c r="B50" s="92"/>
      <c r="C50" s="9" t="s">
        <v>605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"/>
    </row>
    <row r="51" spans="1:9" ht="39" thickBot="1" x14ac:dyDescent="0.3">
      <c r="A51" s="8"/>
      <c r="B51" s="92"/>
      <c r="C51" s="9" t="s">
        <v>606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"/>
    </row>
    <row r="52" spans="1:9" ht="26.25" thickBot="1" x14ac:dyDescent="0.3">
      <c r="A52" s="8"/>
      <c r="B52" s="92"/>
      <c r="C52" s="9" t="s">
        <v>607</v>
      </c>
      <c r="D52" s="9">
        <v>1</v>
      </c>
      <c r="E52" s="9">
        <v>1</v>
      </c>
      <c r="F52" s="9">
        <v>0</v>
      </c>
      <c r="G52" s="9">
        <v>0</v>
      </c>
      <c r="H52" s="9">
        <v>0</v>
      </c>
      <c r="I52" s="1"/>
    </row>
    <row r="53" spans="1:9" ht="26.25" thickBot="1" x14ac:dyDescent="0.3">
      <c r="A53" s="8"/>
      <c r="B53" s="93"/>
      <c r="C53" s="9" t="s">
        <v>608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"/>
    </row>
    <row r="54" spans="1:9" ht="15.75" thickBot="1" x14ac:dyDescent="0.3">
      <c r="A54" s="8"/>
      <c r="B54" s="11" t="s">
        <v>522</v>
      </c>
      <c r="C54" s="12" t="s">
        <v>347</v>
      </c>
      <c r="D54" s="12">
        <v>5</v>
      </c>
      <c r="E54" s="12">
        <v>4</v>
      </c>
      <c r="F54" s="12">
        <v>1</v>
      </c>
      <c r="G54" s="12">
        <v>0</v>
      </c>
      <c r="H54" s="12">
        <v>0</v>
      </c>
      <c r="I54" s="1"/>
    </row>
    <row r="55" spans="1:9" ht="26.25" thickBot="1" x14ac:dyDescent="0.3">
      <c r="A55" s="8"/>
      <c r="B55" s="91"/>
      <c r="C55" s="9" t="s">
        <v>602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1"/>
    </row>
    <row r="56" spans="1:9" ht="39" thickBot="1" x14ac:dyDescent="0.3">
      <c r="A56" s="8"/>
      <c r="B56" s="92"/>
      <c r="C56" s="9" t="s">
        <v>603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"/>
    </row>
    <row r="57" spans="1:9" ht="39" thickBot="1" x14ac:dyDescent="0.3">
      <c r="A57" s="8"/>
      <c r="B57" s="92"/>
      <c r="C57" s="9" t="s">
        <v>604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1"/>
    </row>
    <row r="58" spans="1:9" ht="39" thickBot="1" x14ac:dyDescent="0.3">
      <c r="A58" s="8"/>
      <c r="B58" s="92"/>
      <c r="C58" s="9" t="s">
        <v>605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"/>
    </row>
    <row r="59" spans="1:9" ht="39" thickBot="1" x14ac:dyDescent="0.3">
      <c r="A59" s="8"/>
      <c r="B59" s="92"/>
      <c r="C59" s="9" t="s">
        <v>606</v>
      </c>
      <c r="D59" s="9">
        <v>2</v>
      </c>
      <c r="E59" s="9">
        <v>1</v>
      </c>
      <c r="F59" s="9">
        <v>1</v>
      </c>
      <c r="G59" s="9">
        <v>0</v>
      </c>
      <c r="H59" s="9">
        <v>0</v>
      </c>
      <c r="I59" s="1"/>
    </row>
    <row r="60" spans="1:9" ht="26.25" thickBot="1" x14ac:dyDescent="0.3">
      <c r="A60" s="8"/>
      <c r="B60" s="92"/>
      <c r="C60" s="9" t="s">
        <v>607</v>
      </c>
      <c r="D60" s="9">
        <v>1</v>
      </c>
      <c r="E60" s="9">
        <v>1</v>
      </c>
      <c r="F60" s="9">
        <v>0</v>
      </c>
      <c r="G60" s="9">
        <v>0</v>
      </c>
      <c r="H60" s="9">
        <v>0</v>
      </c>
      <c r="I60" s="1"/>
    </row>
    <row r="61" spans="1:9" ht="26.25" thickBot="1" x14ac:dyDescent="0.3">
      <c r="A61" s="8"/>
      <c r="B61" s="93"/>
      <c r="C61" s="9" t="s">
        <v>608</v>
      </c>
      <c r="D61" s="9">
        <v>2</v>
      </c>
      <c r="E61" s="9">
        <v>2</v>
      </c>
      <c r="F61" s="9">
        <v>0</v>
      </c>
      <c r="G61" s="9">
        <v>0</v>
      </c>
      <c r="H61" s="9">
        <v>0</v>
      </c>
      <c r="I61" s="1"/>
    </row>
    <row r="62" spans="1:9" ht="15.75" thickBot="1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ht="15.75" thickBot="1" x14ac:dyDescent="0.3">
      <c r="A63" s="1"/>
      <c r="B63" s="1"/>
      <c r="C63" s="7"/>
      <c r="D63" s="7"/>
      <c r="E63" s="7"/>
      <c r="F63" s="7"/>
      <c r="G63" s="7"/>
      <c r="H63" s="7"/>
      <c r="I63" s="1"/>
    </row>
    <row r="64" spans="1:9" ht="15.75" thickBot="1" x14ac:dyDescent="0.3">
      <c r="A64" s="1"/>
      <c r="B64" s="8"/>
      <c r="C64" s="12" t="s">
        <v>347</v>
      </c>
      <c r="D64" s="12">
        <v>495</v>
      </c>
      <c r="E64" s="12">
        <v>425</v>
      </c>
      <c r="F64" s="12">
        <v>68</v>
      </c>
      <c r="G64" s="12">
        <v>2</v>
      </c>
      <c r="H64" s="12">
        <v>0</v>
      </c>
      <c r="I64" s="1"/>
    </row>
    <row r="65" spans="1:9" ht="39" thickBot="1" x14ac:dyDescent="0.3">
      <c r="A65" s="1"/>
      <c r="B65" s="8"/>
      <c r="C65" s="10" t="s">
        <v>602</v>
      </c>
      <c r="D65" s="9">
        <v>72</v>
      </c>
      <c r="E65" s="9">
        <v>66</v>
      </c>
      <c r="F65" s="9">
        <v>6</v>
      </c>
      <c r="G65" s="9">
        <v>0</v>
      </c>
      <c r="H65" s="9">
        <v>0</v>
      </c>
      <c r="I65" s="1"/>
    </row>
    <row r="66" spans="1:9" ht="39" thickBot="1" x14ac:dyDescent="0.3">
      <c r="A66" s="1"/>
      <c r="B66" s="8"/>
      <c r="C66" s="10" t="s">
        <v>603</v>
      </c>
      <c r="D66" s="9">
        <v>41</v>
      </c>
      <c r="E66" s="9">
        <v>30</v>
      </c>
      <c r="F66" s="9">
        <v>10</v>
      </c>
      <c r="G66" s="9">
        <v>1</v>
      </c>
      <c r="H66" s="9">
        <v>0</v>
      </c>
      <c r="I66" s="1"/>
    </row>
    <row r="67" spans="1:9" ht="39" thickBot="1" x14ac:dyDescent="0.3">
      <c r="A67" s="1"/>
      <c r="B67" s="8"/>
      <c r="C67" s="10" t="s">
        <v>604</v>
      </c>
      <c r="D67" s="9">
        <v>59</v>
      </c>
      <c r="E67" s="9">
        <v>51</v>
      </c>
      <c r="F67" s="9">
        <v>8</v>
      </c>
      <c r="G67" s="9">
        <v>0</v>
      </c>
      <c r="H67" s="9">
        <v>0</v>
      </c>
      <c r="I67" s="1"/>
    </row>
    <row r="68" spans="1:9" ht="39" thickBot="1" x14ac:dyDescent="0.3">
      <c r="A68" s="1"/>
      <c r="B68" s="8"/>
      <c r="C68" s="10" t="s">
        <v>605</v>
      </c>
      <c r="D68" s="9">
        <v>46</v>
      </c>
      <c r="E68" s="9">
        <v>39</v>
      </c>
      <c r="F68" s="9">
        <v>7</v>
      </c>
      <c r="G68" s="9">
        <v>0</v>
      </c>
      <c r="H68" s="9">
        <v>0</v>
      </c>
      <c r="I68" s="1"/>
    </row>
    <row r="69" spans="1:9" ht="39" thickBot="1" x14ac:dyDescent="0.3">
      <c r="A69" s="1"/>
      <c r="B69" s="8"/>
      <c r="C69" s="10" t="s">
        <v>606</v>
      </c>
      <c r="D69" s="9">
        <v>54</v>
      </c>
      <c r="E69" s="9">
        <v>46</v>
      </c>
      <c r="F69" s="9">
        <v>8</v>
      </c>
      <c r="G69" s="9">
        <v>0</v>
      </c>
      <c r="H69" s="9">
        <v>0</v>
      </c>
      <c r="I69" s="1"/>
    </row>
    <row r="70" spans="1:9" ht="26.25" thickBot="1" x14ac:dyDescent="0.3">
      <c r="A70" s="1"/>
      <c r="B70" s="8"/>
      <c r="C70" s="10" t="s">
        <v>607</v>
      </c>
      <c r="D70" s="9">
        <v>77</v>
      </c>
      <c r="E70" s="9">
        <v>70</v>
      </c>
      <c r="F70" s="9">
        <v>7</v>
      </c>
      <c r="G70" s="9">
        <v>0</v>
      </c>
      <c r="H70" s="9">
        <v>0</v>
      </c>
      <c r="I70" s="1"/>
    </row>
    <row r="71" spans="1:9" ht="26.25" thickBot="1" x14ac:dyDescent="0.3">
      <c r="A71" s="1"/>
      <c r="B71" s="8"/>
      <c r="C71" s="10" t="s">
        <v>608</v>
      </c>
      <c r="D71" s="9">
        <v>146</v>
      </c>
      <c r="E71" s="9">
        <v>123</v>
      </c>
      <c r="F71" s="9">
        <v>22</v>
      </c>
      <c r="G71" s="9">
        <v>1</v>
      </c>
      <c r="H71" s="9">
        <v>0</v>
      </c>
      <c r="I71" s="1"/>
    </row>
    <row r="72" spans="1:9" ht="15.75" thickBot="1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ht="15.75" thickBot="1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ht="15.75" thickBot="1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ht="15.75" thickBot="1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ht="15.75" thickBot="1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ht="15.75" thickBot="1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15.75" thickBot="1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ht="15.75" thickBot="1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ht="15.75" thickBot="1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ht="15.75" thickBot="1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ht="15.75" thickBot="1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ht="15.75" thickBot="1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ht="15.75" thickBot="1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ht="15.75" thickBot="1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ht="15.75" thickBot="1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ht="15.75" thickBot="1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ht="15.75" thickBot="1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ht="15.75" thickBot="1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ht="15.75" thickBot="1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ht="15.75" thickBot="1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ht="15.75" thickBot="1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ht="15.75" thickBot="1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ht="15.75" thickBot="1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ht="15.75" thickBot="1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ht="15.75" thickBot="1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ht="15.75" thickBot="1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ht="15.75" thickBot="1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ht="15.75" thickBot="1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</row>
  </sheetData>
  <mergeCells count="7">
    <mergeCell ref="B55:B61"/>
    <mergeCell ref="B7:B13"/>
    <mergeCell ref="B15:B21"/>
    <mergeCell ref="B23:B29"/>
    <mergeCell ref="B31:B37"/>
    <mergeCell ref="B39:B45"/>
    <mergeCell ref="B47:B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023A-9067-4B44-A06E-A3E50662941F}">
  <dimension ref="A1:B44"/>
  <sheetViews>
    <sheetView topLeftCell="A58" zoomScale="77" zoomScaleNormal="77" workbookViewId="0">
      <selection activeCell="C85" sqref="C85"/>
    </sheetView>
  </sheetViews>
  <sheetFormatPr baseColWidth="10" defaultRowHeight="15" x14ac:dyDescent="0.25"/>
  <cols>
    <col min="1" max="1" width="49.5703125" customWidth="1"/>
    <col min="2" max="2" width="26.7109375" customWidth="1"/>
  </cols>
  <sheetData>
    <row r="1" spans="1:2" ht="17.25" x14ac:dyDescent="0.3">
      <c r="A1" s="44" t="s">
        <v>711</v>
      </c>
    </row>
    <row r="2" spans="1:2" x14ac:dyDescent="0.25">
      <c r="A2" s="23" t="s">
        <v>712</v>
      </c>
    </row>
    <row r="4" spans="1:2" x14ac:dyDescent="0.25">
      <c r="A4" s="25" t="s">
        <v>713</v>
      </c>
      <c r="B4" s="26"/>
    </row>
    <row r="5" spans="1:2" x14ac:dyDescent="0.25">
      <c r="A5" t="s">
        <v>714</v>
      </c>
      <c r="B5" s="31">
        <v>45759421</v>
      </c>
    </row>
    <row r="6" spans="1:2" x14ac:dyDescent="0.25">
      <c r="A6" t="s">
        <v>715</v>
      </c>
      <c r="B6" s="31">
        <v>231115754</v>
      </c>
    </row>
    <row r="7" spans="1:2" x14ac:dyDescent="0.25">
      <c r="A7" t="s">
        <v>716</v>
      </c>
      <c r="B7" s="31">
        <v>0</v>
      </c>
    </row>
    <row r="8" spans="1:2" x14ac:dyDescent="0.25">
      <c r="A8" t="s">
        <v>717</v>
      </c>
      <c r="B8" s="31">
        <v>300000</v>
      </c>
    </row>
    <row r="9" spans="1:2" x14ac:dyDescent="0.25">
      <c r="A9" s="24" t="s">
        <v>718</v>
      </c>
      <c r="B9" s="34">
        <f>SUM(B5:B8)</f>
        <v>277175175</v>
      </c>
    </row>
    <row r="11" spans="1:2" x14ac:dyDescent="0.25">
      <c r="A11" s="25" t="s">
        <v>719</v>
      </c>
      <c r="B11" s="26"/>
    </row>
    <row r="12" spans="1:2" x14ac:dyDescent="0.25">
      <c r="A12" t="s">
        <v>672</v>
      </c>
      <c r="B12" s="31">
        <v>2626899</v>
      </c>
    </row>
    <row r="13" spans="1:2" x14ac:dyDescent="0.25">
      <c r="A13" t="s">
        <v>720</v>
      </c>
      <c r="B13" s="31">
        <v>18993718</v>
      </c>
    </row>
    <row r="14" spans="1:2" x14ac:dyDescent="0.25">
      <c r="A14" t="s">
        <v>697</v>
      </c>
      <c r="B14" s="31">
        <v>41286380</v>
      </c>
    </row>
    <row r="15" spans="1:2" x14ac:dyDescent="0.25">
      <c r="A15" t="s">
        <v>698</v>
      </c>
      <c r="B15" s="31">
        <v>374923000</v>
      </c>
    </row>
    <row r="16" spans="1:2" x14ac:dyDescent="0.25">
      <c r="A16" t="s">
        <v>673</v>
      </c>
      <c r="B16" s="31">
        <v>1288000</v>
      </c>
    </row>
    <row r="17" spans="1:2" x14ac:dyDescent="0.25">
      <c r="A17" t="s">
        <v>721</v>
      </c>
      <c r="B17" s="31">
        <v>9329600</v>
      </c>
    </row>
    <row r="18" spans="1:2" x14ac:dyDescent="0.25">
      <c r="A18" t="s">
        <v>722</v>
      </c>
      <c r="B18" s="31">
        <v>2278509</v>
      </c>
    </row>
    <row r="19" spans="1:2" x14ac:dyDescent="0.25">
      <c r="A19" t="s">
        <v>723</v>
      </c>
      <c r="B19" s="31">
        <v>31560081</v>
      </c>
    </row>
    <row r="20" spans="1:2" x14ac:dyDescent="0.25">
      <c r="A20" s="24" t="s">
        <v>724</v>
      </c>
      <c r="B20" s="34">
        <f>SUM(B12:B19)</f>
        <v>482286187</v>
      </c>
    </row>
    <row r="22" spans="1:2" x14ac:dyDescent="0.25">
      <c r="A22" s="24" t="s">
        <v>725</v>
      </c>
      <c r="B22" s="34">
        <f>B9-B20</f>
        <v>-205111012</v>
      </c>
    </row>
    <row r="24" spans="1:2" x14ac:dyDescent="0.25">
      <c r="A24" s="25" t="s">
        <v>701</v>
      </c>
      <c r="B24" s="26"/>
    </row>
    <row r="25" spans="1:2" x14ac:dyDescent="0.25">
      <c r="A25" t="s">
        <v>726</v>
      </c>
      <c r="B25" s="31">
        <v>94614793</v>
      </c>
    </row>
    <row r="26" spans="1:2" x14ac:dyDescent="0.25">
      <c r="A26" t="s">
        <v>675</v>
      </c>
      <c r="B26" s="31">
        <v>2556100</v>
      </c>
    </row>
    <row r="27" spans="1:2" x14ac:dyDescent="0.25">
      <c r="A27" t="s">
        <v>727</v>
      </c>
      <c r="B27" s="31">
        <v>2032000</v>
      </c>
    </row>
    <row r="28" spans="1:2" x14ac:dyDescent="0.25">
      <c r="A28" t="s">
        <v>677</v>
      </c>
      <c r="B28" s="31">
        <v>714000</v>
      </c>
    </row>
    <row r="29" spans="1:2" x14ac:dyDescent="0.25">
      <c r="A29" t="s">
        <v>728</v>
      </c>
      <c r="B29" s="31">
        <v>12934479</v>
      </c>
    </row>
    <row r="30" spans="1:2" x14ac:dyDescent="0.25">
      <c r="A30" t="s">
        <v>679</v>
      </c>
      <c r="B30" s="31">
        <v>747000</v>
      </c>
    </row>
    <row r="31" spans="1:2" x14ac:dyDescent="0.25">
      <c r="A31" t="s">
        <v>680</v>
      </c>
      <c r="B31" s="31">
        <v>10848268</v>
      </c>
    </row>
    <row r="32" spans="1:2" x14ac:dyDescent="0.25">
      <c r="A32" t="s">
        <v>702</v>
      </c>
      <c r="B32" s="31">
        <v>4733217</v>
      </c>
    </row>
    <row r="33" spans="1:2" x14ac:dyDescent="0.25">
      <c r="A33" t="s">
        <v>682</v>
      </c>
      <c r="B33" s="31">
        <v>5679921</v>
      </c>
    </row>
    <row r="34" spans="1:2" x14ac:dyDescent="0.25">
      <c r="A34" t="s">
        <v>729</v>
      </c>
      <c r="B34" s="31">
        <v>80188289</v>
      </c>
    </row>
    <row r="35" spans="1:2" x14ac:dyDescent="0.25">
      <c r="A35" t="s">
        <v>730</v>
      </c>
      <c r="B35" s="31">
        <v>1507052</v>
      </c>
    </row>
    <row r="36" spans="1:2" x14ac:dyDescent="0.25">
      <c r="A36" s="24" t="s">
        <v>703</v>
      </c>
      <c r="B36" s="34">
        <f>SUM(B25:B35)</f>
        <v>216555119</v>
      </c>
    </row>
    <row r="38" spans="1:2" x14ac:dyDescent="0.25">
      <c r="A38" s="24" t="s">
        <v>731</v>
      </c>
      <c r="B38" s="34">
        <f>B22-B36</f>
        <v>-421666131</v>
      </c>
    </row>
    <row r="40" spans="1:2" x14ac:dyDescent="0.25">
      <c r="A40" s="25" t="s">
        <v>732</v>
      </c>
      <c r="B40" s="26"/>
    </row>
    <row r="41" spans="1:2" x14ac:dyDescent="0.25">
      <c r="A41" t="s">
        <v>733</v>
      </c>
      <c r="B41" s="31">
        <v>270526</v>
      </c>
    </row>
    <row r="42" spans="1:2" x14ac:dyDescent="0.25">
      <c r="A42" t="s">
        <v>734</v>
      </c>
      <c r="B42" s="31">
        <v>9928965</v>
      </c>
    </row>
    <row r="44" spans="1:2" ht="15.75" x14ac:dyDescent="0.25">
      <c r="A44" s="42" t="s">
        <v>735</v>
      </c>
      <c r="B44" s="43">
        <f>B38+B41-B42</f>
        <v>-431324570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0062-1389-4AEC-8203-A34B87E68B5F}">
  <dimension ref="A1:D54"/>
  <sheetViews>
    <sheetView topLeftCell="A51" workbookViewId="0">
      <selection activeCell="A70" sqref="A70"/>
    </sheetView>
  </sheetViews>
  <sheetFormatPr baseColWidth="10" defaultRowHeight="15" x14ac:dyDescent="0.25"/>
  <cols>
    <col min="1" max="1" width="64.7109375" customWidth="1"/>
    <col min="2" max="2" width="18.42578125" customWidth="1"/>
    <col min="3" max="3" width="17.7109375" customWidth="1"/>
    <col min="4" max="4" width="17.28515625" customWidth="1"/>
  </cols>
  <sheetData>
    <row r="1" spans="1:4" ht="18.75" x14ac:dyDescent="0.3">
      <c r="A1" s="22" t="s">
        <v>633</v>
      </c>
    </row>
    <row r="2" spans="1:4" x14ac:dyDescent="0.25">
      <c r="A2" s="23" t="s">
        <v>634</v>
      </c>
    </row>
    <row r="4" spans="1:4" x14ac:dyDescent="0.25">
      <c r="A4" s="25" t="s">
        <v>635</v>
      </c>
      <c r="B4" s="26"/>
      <c r="C4" s="26"/>
    </row>
    <row r="5" spans="1:4" x14ac:dyDescent="0.25">
      <c r="A5" t="s">
        <v>636</v>
      </c>
      <c r="B5" s="27">
        <v>8</v>
      </c>
    </row>
    <row r="6" spans="1:4" x14ac:dyDescent="0.25">
      <c r="A6" t="s">
        <v>637</v>
      </c>
      <c r="B6" s="28">
        <v>30</v>
      </c>
    </row>
    <row r="7" spans="1:4" x14ac:dyDescent="0.25">
      <c r="A7" t="s">
        <v>638</v>
      </c>
      <c r="B7">
        <f>B5*B6</f>
        <v>240</v>
      </c>
    </row>
    <row r="9" spans="1:4" x14ac:dyDescent="0.25">
      <c r="A9" s="25" t="s">
        <v>639</v>
      </c>
      <c r="B9" s="26"/>
      <c r="C9" s="26"/>
      <c r="D9" s="26"/>
    </row>
    <row r="10" spans="1:4" x14ac:dyDescent="0.25">
      <c r="A10" t="s">
        <v>640</v>
      </c>
      <c r="B10" s="29" t="s">
        <v>641</v>
      </c>
      <c r="C10" s="29" t="s">
        <v>642</v>
      </c>
      <c r="D10" s="29" t="s">
        <v>643</v>
      </c>
    </row>
    <row r="11" spans="1:4" x14ac:dyDescent="0.25">
      <c r="A11" t="s">
        <v>644</v>
      </c>
      <c r="B11" s="30">
        <v>0.5</v>
      </c>
      <c r="C11" s="30">
        <v>0.7</v>
      </c>
      <c r="D11" s="30">
        <v>0.8</v>
      </c>
    </row>
    <row r="12" spans="1:4" x14ac:dyDescent="0.25">
      <c r="A12" t="s">
        <v>645</v>
      </c>
      <c r="B12" s="31">
        <v>490000</v>
      </c>
      <c r="C12" s="31">
        <v>650000</v>
      </c>
      <c r="D12" s="31">
        <v>800000</v>
      </c>
    </row>
    <row r="13" spans="1:4" x14ac:dyDescent="0.25">
      <c r="A13" t="s">
        <v>646</v>
      </c>
      <c r="B13" s="32">
        <f>$B$7*B11</f>
        <v>120</v>
      </c>
      <c r="C13" s="32">
        <f>$B$7*C11</f>
        <v>168</v>
      </c>
      <c r="D13" s="32">
        <f>$B$7*D11</f>
        <v>192</v>
      </c>
    </row>
    <row r="15" spans="1:4" x14ac:dyDescent="0.25">
      <c r="A15" s="25" t="s">
        <v>647</v>
      </c>
      <c r="B15" s="26"/>
      <c r="C15" s="26"/>
    </row>
    <row r="16" spans="1:4" x14ac:dyDescent="0.25">
      <c r="A16" t="s">
        <v>648</v>
      </c>
      <c r="B16" s="31">
        <v>46000000</v>
      </c>
      <c r="C16" s="23" t="s">
        <v>649</v>
      </c>
    </row>
    <row r="17" spans="1:3" x14ac:dyDescent="0.25">
      <c r="A17" t="s">
        <v>650</v>
      </c>
      <c r="B17" s="33">
        <f>B16*0.19</f>
        <v>8740000</v>
      </c>
    </row>
    <row r="18" spans="1:3" x14ac:dyDescent="0.25">
      <c r="A18" t="s">
        <v>651</v>
      </c>
      <c r="B18" s="31">
        <v>9150000</v>
      </c>
    </row>
    <row r="19" spans="1:3" x14ac:dyDescent="0.25">
      <c r="A19" t="s">
        <v>652</v>
      </c>
      <c r="B19" s="31">
        <v>1400000</v>
      </c>
    </row>
    <row r="20" spans="1:3" x14ac:dyDescent="0.25">
      <c r="A20" t="s">
        <v>653</v>
      </c>
      <c r="B20" s="31">
        <v>300000</v>
      </c>
    </row>
    <row r="21" spans="1:3" x14ac:dyDescent="0.25">
      <c r="A21" t="s">
        <v>654</v>
      </c>
      <c r="B21" s="31">
        <v>600000</v>
      </c>
    </row>
    <row r="22" spans="1:3" x14ac:dyDescent="0.25">
      <c r="A22" t="s">
        <v>768</v>
      </c>
      <c r="B22" s="31">
        <v>12000000</v>
      </c>
    </row>
    <row r="23" spans="1:3" x14ac:dyDescent="0.25">
      <c r="A23" t="s">
        <v>655</v>
      </c>
      <c r="B23" s="34">
        <f>B16+B18+B19+B20+B21+B22</f>
        <v>69450000</v>
      </c>
    </row>
    <row r="25" spans="1:3" x14ac:dyDescent="0.25">
      <c r="A25" s="25" t="s">
        <v>656</v>
      </c>
      <c r="B25" s="26"/>
      <c r="C25" s="26"/>
    </row>
    <row r="26" spans="1:3" x14ac:dyDescent="0.25">
      <c r="A26" t="s">
        <v>657</v>
      </c>
      <c r="B26" s="31">
        <v>35000</v>
      </c>
    </row>
    <row r="27" spans="1:3" x14ac:dyDescent="0.25">
      <c r="A27" t="s">
        <v>658</v>
      </c>
      <c r="B27" s="35">
        <f>_xlfn.NUMBERVALUE(SUBSTITUTE('patio 2'!I103,"$",""),".",",")/_xlfn.NUMBERVALUE(SUBSTITUTE('patio 2'!I113,"$",""),".",",")</f>
        <v>0.744365751340199</v>
      </c>
      <c r="C27" s="23" t="s">
        <v>659</v>
      </c>
    </row>
    <row r="28" spans="1:3" x14ac:dyDescent="0.25">
      <c r="A28" t="s">
        <v>660</v>
      </c>
      <c r="B28" s="36">
        <v>0.18</v>
      </c>
      <c r="C28" s="23" t="s">
        <v>661</v>
      </c>
    </row>
    <row r="30" spans="1:3" x14ac:dyDescent="0.25">
      <c r="A30" s="25" t="s">
        <v>662</v>
      </c>
      <c r="B30" s="26"/>
      <c r="C30" s="26"/>
    </row>
    <row r="31" spans="1:3" x14ac:dyDescent="0.25">
      <c r="A31" t="s">
        <v>663</v>
      </c>
      <c r="B31" s="31">
        <v>3000000</v>
      </c>
    </row>
    <row r="32" spans="1:3" x14ac:dyDescent="0.25">
      <c r="A32" t="s">
        <v>664</v>
      </c>
      <c r="B32" s="36">
        <v>0.02</v>
      </c>
      <c r="C32" s="23" t="s">
        <v>665</v>
      </c>
    </row>
    <row r="34" spans="1:4" x14ac:dyDescent="0.25">
      <c r="A34" s="25" t="s">
        <v>666</v>
      </c>
      <c r="B34" s="26"/>
      <c r="C34" s="26"/>
      <c r="D34" s="26"/>
    </row>
    <row r="35" spans="1:4" x14ac:dyDescent="0.25">
      <c r="A35" t="s">
        <v>667</v>
      </c>
      <c r="B35" s="24" t="s">
        <v>668</v>
      </c>
      <c r="C35" s="24" t="s">
        <v>669</v>
      </c>
      <c r="D35" s="24" t="s">
        <v>670</v>
      </c>
    </row>
    <row r="36" spans="1:4" x14ac:dyDescent="0.25">
      <c r="A36" t="s">
        <v>671</v>
      </c>
      <c r="B36" s="41">
        <f>estados!B9</f>
        <v>277175175</v>
      </c>
      <c r="C36" s="37">
        <v>1</v>
      </c>
    </row>
    <row r="37" spans="1:4" x14ac:dyDescent="0.25">
      <c r="A37" t="s">
        <v>672</v>
      </c>
      <c r="B37" s="41">
        <f>estados!B12</f>
        <v>2626899</v>
      </c>
      <c r="C37" s="38">
        <f t="shared" ref="C37:C48" si="0">B37/$B$36</f>
        <v>9.4773963793835427E-3</v>
      </c>
    </row>
    <row r="38" spans="1:4" x14ac:dyDescent="0.25">
      <c r="A38" t="s">
        <v>673</v>
      </c>
      <c r="B38" s="41">
        <f>estados!B16</f>
        <v>1288000</v>
      </c>
      <c r="C38" s="38">
        <f t="shared" si="0"/>
        <v>4.6468808038093602E-3</v>
      </c>
    </row>
    <row r="39" spans="1:4" x14ac:dyDescent="0.25">
      <c r="A39" t="s">
        <v>674</v>
      </c>
      <c r="B39" s="41">
        <f>estados!B19</f>
        <v>31560081</v>
      </c>
      <c r="C39" s="38">
        <f t="shared" si="0"/>
        <v>0.11386330323413704</v>
      </c>
    </row>
    <row r="40" spans="1:4" x14ac:dyDescent="0.25">
      <c r="A40" t="s">
        <v>675</v>
      </c>
      <c r="B40" s="41">
        <f>estados!B26</f>
        <v>2556100</v>
      </c>
      <c r="C40" s="38">
        <f t="shared" si="0"/>
        <v>9.2219658560691812E-3</v>
      </c>
    </row>
    <row r="41" spans="1:4" x14ac:dyDescent="0.25">
      <c r="A41" t="s">
        <v>676</v>
      </c>
      <c r="B41" s="41">
        <f>estados!B27</f>
        <v>2032000</v>
      </c>
      <c r="C41" s="38">
        <f t="shared" si="0"/>
        <v>7.331103876817251E-3</v>
      </c>
    </row>
    <row r="42" spans="1:4" x14ac:dyDescent="0.25">
      <c r="A42" t="s">
        <v>677</v>
      </c>
      <c r="B42" s="41">
        <f>estados!B28</f>
        <v>714000</v>
      </c>
      <c r="C42" s="38">
        <f t="shared" si="0"/>
        <v>2.5759882716769279E-3</v>
      </c>
    </row>
    <row r="43" spans="1:4" x14ac:dyDescent="0.25">
      <c r="A43" t="s">
        <v>678</v>
      </c>
      <c r="B43" s="41">
        <f>estados!B29+estados!B35</f>
        <v>14441531</v>
      </c>
      <c r="C43" s="38">
        <f t="shared" si="0"/>
        <v>5.2102541289998285E-2</v>
      </c>
    </row>
    <row r="44" spans="1:4" x14ac:dyDescent="0.25">
      <c r="A44" t="s">
        <v>679</v>
      </c>
      <c r="B44" s="41">
        <f>estados!B30</f>
        <v>747000</v>
      </c>
      <c r="C44" s="38">
        <f t="shared" si="0"/>
        <v>2.6950465531409874E-3</v>
      </c>
    </row>
    <row r="45" spans="1:4" x14ac:dyDescent="0.25">
      <c r="A45" t="s">
        <v>680</v>
      </c>
      <c r="B45" s="41">
        <f>estados!B31</f>
        <v>10848268</v>
      </c>
      <c r="C45" s="38">
        <f t="shared" si="0"/>
        <v>3.9138671058834902E-2</v>
      </c>
    </row>
    <row r="46" spans="1:4" x14ac:dyDescent="0.25">
      <c r="A46" t="s">
        <v>681</v>
      </c>
      <c r="B46" s="41">
        <f>estados!B32</f>
        <v>4733217</v>
      </c>
      <c r="C46" s="38">
        <f t="shared" si="0"/>
        <v>1.7076626721711279E-2</v>
      </c>
    </row>
    <row r="47" spans="1:4" x14ac:dyDescent="0.25">
      <c r="A47" t="s">
        <v>682</v>
      </c>
      <c r="B47" s="41">
        <f>estados!B33</f>
        <v>5679921</v>
      </c>
      <c r="C47" s="38">
        <f t="shared" si="0"/>
        <v>2.0492170700352225E-2</v>
      </c>
    </row>
    <row r="48" spans="1:4" x14ac:dyDescent="0.25">
      <c r="A48" t="s">
        <v>683</v>
      </c>
      <c r="B48" s="41">
        <f>estados!B42</f>
        <v>9928965</v>
      </c>
      <c r="C48" s="38">
        <f t="shared" si="0"/>
        <v>3.5821985139902951E-2</v>
      </c>
    </row>
    <row r="49" spans="1:3" x14ac:dyDescent="0.25">
      <c r="A49" s="23" t="s">
        <v>684</v>
      </c>
    </row>
    <row r="51" spans="1:3" x14ac:dyDescent="0.25">
      <c r="A51" s="25" t="s">
        <v>685</v>
      </c>
      <c r="B51" s="26"/>
      <c r="C51" s="26"/>
    </row>
    <row r="52" spans="1:3" x14ac:dyDescent="0.25">
      <c r="A52" t="s">
        <v>686</v>
      </c>
      <c r="B52" s="39">
        <v>10000000</v>
      </c>
      <c r="C52" s="23" t="s">
        <v>687</v>
      </c>
    </row>
    <row r="53" spans="1:3" x14ac:dyDescent="0.25">
      <c r="A53" t="s">
        <v>688</v>
      </c>
      <c r="B53" s="39">
        <v>6000000</v>
      </c>
      <c r="C53" s="23" t="s">
        <v>689</v>
      </c>
    </row>
    <row r="54" spans="1:3" x14ac:dyDescent="0.25">
      <c r="A54" t="s">
        <v>690</v>
      </c>
      <c r="B54" s="39">
        <v>1000000</v>
      </c>
      <c r="C54" s="23" t="s">
        <v>691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7A15-5CF5-46B6-AFDF-39783B026400}">
  <dimension ref="A1:J62"/>
  <sheetViews>
    <sheetView tabSelected="1" topLeftCell="B5" zoomScaleNormal="100" workbookViewId="0">
      <pane xSplit="2" ySplit="4" topLeftCell="D9" activePane="bottomRight" state="frozen"/>
      <selection activeCell="B5" sqref="B5"/>
      <selection pane="topRight" activeCell="C5" sqref="C5"/>
      <selection pane="bottomLeft" activeCell="B6" sqref="B6"/>
      <selection pane="bottomRight" activeCell="E13" sqref="E13"/>
    </sheetView>
  </sheetViews>
  <sheetFormatPr baseColWidth="10" defaultRowHeight="15" x14ac:dyDescent="0.25"/>
  <cols>
    <col min="1" max="1" width="30.42578125" customWidth="1"/>
    <col min="2" max="2" width="66.7109375" customWidth="1"/>
    <col min="3" max="3" width="19.42578125" customWidth="1"/>
    <col min="4" max="4" width="20" customWidth="1"/>
    <col min="5" max="5" width="20.140625" customWidth="1"/>
    <col min="6" max="6" width="19.5703125" customWidth="1"/>
    <col min="7" max="7" width="19.28515625" customWidth="1"/>
    <col min="8" max="8" width="19.7109375" customWidth="1"/>
    <col min="9" max="9" width="12.42578125" customWidth="1"/>
    <col min="10" max="10" width="17.85546875" customWidth="1"/>
    <col min="11" max="11" width="11.42578125" customWidth="1"/>
  </cols>
  <sheetData>
    <row r="1" spans="1:10" ht="18.75" x14ac:dyDescent="0.3">
      <c r="A1" s="22" t="s">
        <v>692</v>
      </c>
      <c r="B1" s="22" t="s">
        <v>692</v>
      </c>
    </row>
    <row r="2" spans="1:10" x14ac:dyDescent="0.25">
      <c r="A2" s="23" t="s">
        <v>693</v>
      </c>
      <c r="B2" s="23" t="s">
        <v>693</v>
      </c>
    </row>
    <row r="4" spans="1:10" ht="15.75" thickBot="1" x14ac:dyDescent="0.3">
      <c r="A4" s="24" t="s">
        <v>640</v>
      </c>
      <c r="B4" s="24" t="s">
        <v>640</v>
      </c>
      <c r="C4" s="40" t="str">
        <f>Supuestos!B10</f>
        <v>Pesimista</v>
      </c>
      <c r="D4" s="40"/>
      <c r="E4" s="40" t="str">
        <f>Supuestos!C10</f>
        <v>Conservador</v>
      </c>
      <c r="F4" s="40"/>
      <c r="G4" s="40" t="str">
        <f>Supuestos!D10</f>
        <v>Optimista</v>
      </c>
    </row>
    <row r="5" spans="1:10" ht="29.25" customHeight="1" thickBot="1" x14ac:dyDescent="0.45">
      <c r="A5" s="24"/>
      <c r="B5" s="111" t="s">
        <v>766</v>
      </c>
      <c r="C5" s="113"/>
      <c r="D5" s="113"/>
      <c r="E5" s="113"/>
      <c r="F5" s="112"/>
      <c r="G5" s="111">
        <v>240</v>
      </c>
      <c r="H5" s="112"/>
    </row>
    <row r="6" spans="1:10" ht="22.5" customHeight="1" thickBot="1" x14ac:dyDescent="0.4">
      <c r="A6" s="24"/>
      <c r="B6" s="109" t="s">
        <v>760</v>
      </c>
      <c r="C6" s="107" t="s">
        <v>758</v>
      </c>
      <c r="D6" s="108"/>
      <c r="E6" s="107" t="s">
        <v>764</v>
      </c>
      <c r="F6" s="108"/>
      <c r="G6" s="107" t="s">
        <v>759</v>
      </c>
      <c r="H6" s="108"/>
    </row>
    <row r="7" spans="1:10" ht="24" customHeight="1" thickBot="1" x14ac:dyDescent="0.35">
      <c r="A7" s="24"/>
      <c r="B7" s="110"/>
      <c r="C7" s="70" t="s">
        <v>762</v>
      </c>
      <c r="D7" s="70" t="s">
        <v>763</v>
      </c>
      <c r="E7" s="70" t="s">
        <v>762</v>
      </c>
      <c r="F7" s="70" t="s">
        <v>763</v>
      </c>
      <c r="G7" s="70" t="s">
        <v>762</v>
      </c>
      <c r="H7" s="70" t="s">
        <v>763</v>
      </c>
    </row>
    <row r="8" spans="1:10" x14ac:dyDescent="0.25">
      <c r="A8" t="s">
        <v>644</v>
      </c>
      <c r="B8" s="50" t="s">
        <v>644</v>
      </c>
      <c r="C8" s="76">
        <v>0.5</v>
      </c>
      <c r="D8" s="72">
        <f>+C8</f>
        <v>0.5</v>
      </c>
      <c r="E8" s="76">
        <v>0.7</v>
      </c>
      <c r="F8" s="72">
        <f>+E8</f>
        <v>0.7</v>
      </c>
      <c r="G8" s="76">
        <v>0.75</v>
      </c>
      <c r="H8" s="75">
        <f>+G8</f>
        <v>0.75</v>
      </c>
      <c r="J8" s="47"/>
    </row>
    <row r="9" spans="1:10" x14ac:dyDescent="0.25">
      <c r="A9" t="s">
        <v>645</v>
      </c>
      <c r="B9" s="50" t="s">
        <v>645</v>
      </c>
      <c r="C9" s="77">
        <v>500000</v>
      </c>
      <c r="D9" s="73">
        <v>500000</v>
      </c>
      <c r="E9" s="77">
        <v>700000</v>
      </c>
      <c r="F9" s="73">
        <f>+E9</f>
        <v>700000</v>
      </c>
      <c r="G9" s="77">
        <v>790000</v>
      </c>
      <c r="H9" s="73">
        <f>+G9</f>
        <v>790000</v>
      </c>
      <c r="I9" s="29"/>
      <c r="J9" s="29"/>
    </row>
    <row r="10" spans="1:10" ht="21.75" customHeight="1" x14ac:dyDescent="0.25">
      <c r="A10" t="s">
        <v>694</v>
      </c>
      <c r="B10" s="50" t="s">
        <v>694</v>
      </c>
      <c r="C10" s="78">
        <f>+G5*C8</f>
        <v>120</v>
      </c>
      <c r="D10" s="74">
        <f>+C10*12</f>
        <v>1440</v>
      </c>
      <c r="E10" s="78">
        <f>+G5*E8</f>
        <v>168</v>
      </c>
      <c r="F10" s="74">
        <f>+E10*12</f>
        <v>2016</v>
      </c>
      <c r="G10" s="78">
        <f>+G5*G8</f>
        <v>180</v>
      </c>
      <c r="H10" s="74">
        <f>+G10*12</f>
        <v>2160</v>
      </c>
      <c r="J10" s="71"/>
    </row>
    <row r="11" spans="1:10" ht="21.75" customHeight="1" x14ac:dyDescent="0.25">
      <c r="B11" s="50"/>
      <c r="C11" s="45"/>
      <c r="D11" s="45"/>
      <c r="E11" s="45"/>
      <c r="F11" s="45" t="s">
        <v>765</v>
      </c>
      <c r="G11" s="45"/>
      <c r="H11" s="45" t="s">
        <v>765</v>
      </c>
      <c r="J11" s="71"/>
    </row>
    <row r="12" spans="1:10" ht="22.5" customHeight="1" x14ac:dyDescent="0.3">
      <c r="A12" s="25" t="s">
        <v>695</v>
      </c>
      <c r="B12" s="62" t="s">
        <v>695</v>
      </c>
      <c r="C12" s="58">
        <f>+C14+C15+C16+C17</f>
        <v>67500000</v>
      </c>
      <c r="D12" s="58">
        <f>+C12*12</f>
        <v>810000000</v>
      </c>
      <c r="E12" s="58">
        <f>+E14+E15+E16+E17</f>
        <v>125100000</v>
      </c>
      <c r="F12" s="58">
        <f>+E12*12</f>
        <v>1501200000</v>
      </c>
      <c r="G12" s="58">
        <f>+G14+G15+G16+G17</f>
        <v>149700000</v>
      </c>
      <c r="H12" s="58">
        <f>+G12*12</f>
        <v>1796400000</v>
      </c>
      <c r="J12" s="71"/>
    </row>
    <row r="13" spans="1:10" ht="15.75" customHeight="1" x14ac:dyDescent="0.3">
      <c r="A13" s="25"/>
      <c r="B13" s="55"/>
      <c r="C13" s="47"/>
      <c r="D13" s="47"/>
      <c r="E13" s="47"/>
      <c r="F13" s="47"/>
      <c r="G13" s="47"/>
      <c r="H13" s="47"/>
    </row>
    <row r="14" spans="1:10" x14ac:dyDescent="0.25">
      <c r="A14" t="s">
        <v>736</v>
      </c>
      <c r="B14" s="50" t="s">
        <v>736</v>
      </c>
      <c r="C14" s="47">
        <f>+C9*C10</f>
        <v>60000000</v>
      </c>
      <c r="D14" s="47">
        <f>+C14*12</f>
        <v>720000000</v>
      </c>
      <c r="E14" s="47">
        <f>+E9*E10</f>
        <v>117600000</v>
      </c>
      <c r="F14" s="47">
        <f>+E14*12</f>
        <v>1411200000</v>
      </c>
      <c r="G14" s="47">
        <f>+G9*G10</f>
        <v>142200000</v>
      </c>
      <c r="H14" s="47">
        <f>+G14*12</f>
        <v>1706400000</v>
      </c>
    </row>
    <row r="15" spans="1:10" x14ac:dyDescent="0.25">
      <c r="B15" t="s">
        <v>686</v>
      </c>
      <c r="C15" s="79"/>
      <c r="D15" s="47"/>
      <c r="E15" s="47"/>
      <c r="F15" s="47"/>
      <c r="G15" s="47"/>
      <c r="H15" s="47"/>
    </row>
    <row r="16" spans="1:10" x14ac:dyDescent="0.25">
      <c r="B16" t="s">
        <v>688</v>
      </c>
      <c r="C16" s="47">
        <v>6000000</v>
      </c>
      <c r="D16" s="47">
        <f t="shared" ref="D16:F17" si="0">+C16*12</f>
        <v>72000000</v>
      </c>
      <c r="E16" s="47">
        <f>+C16</f>
        <v>6000000</v>
      </c>
      <c r="F16" s="47">
        <f t="shared" si="0"/>
        <v>72000000</v>
      </c>
      <c r="G16" s="47">
        <f>+C16</f>
        <v>6000000</v>
      </c>
      <c r="H16" s="47">
        <f>+G16*12</f>
        <v>72000000</v>
      </c>
      <c r="J16" t="s">
        <v>765</v>
      </c>
    </row>
    <row r="17" spans="1:8" x14ac:dyDescent="0.25">
      <c r="B17" t="s">
        <v>690</v>
      </c>
      <c r="C17" s="47">
        <v>1500000</v>
      </c>
      <c r="D17" s="47">
        <f t="shared" si="0"/>
        <v>18000000</v>
      </c>
      <c r="E17" s="47">
        <f>+C17</f>
        <v>1500000</v>
      </c>
      <c r="F17" s="47">
        <f t="shared" si="0"/>
        <v>18000000</v>
      </c>
      <c r="G17" s="47">
        <f>+C17</f>
        <v>1500000</v>
      </c>
      <c r="H17" s="47">
        <f t="shared" ref="H17" si="1">+G17*12</f>
        <v>18000000</v>
      </c>
    </row>
    <row r="18" spans="1:8" ht="22.5" customHeight="1" x14ac:dyDescent="0.3">
      <c r="A18" s="25" t="s">
        <v>696</v>
      </c>
      <c r="B18" s="62" t="s">
        <v>696</v>
      </c>
      <c r="C18" s="60"/>
      <c r="D18" s="60"/>
      <c r="E18" s="60"/>
      <c r="F18" s="60"/>
      <c r="G18" s="60"/>
      <c r="H18" s="60"/>
    </row>
    <row r="19" spans="1:8" x14ac:dyDescent="0.25">
      <c r="A19" t="s">
        <v>737</v>
      </c>
      <c r="B19" s="50" t="s">
        <v>737</v>
      </c>
      <c r="C19" s="47">
        <f>C14*Supuestos!$B$27*Supuestos!$B$28</f>
        <v>8039150.1144741494</v>
      </c>
      <c r="D19" s="47">
        <f>+C19*12</f>
        <v>96469801.373689801</v>
      </c>
      <c r="E19" s="47">
        <f>E14*Supuestos!$B$27*Supuestos!$B$28</f>
        <v>15756734.224369332</v>
      </c>
      <c r="F19" s="47">
        <f>+E19*12</f>
        <v>189080810.69243199</v>
      </c>
      <c r="G19" s="47">
        <f>G14*Supuestos!$B$27*Supuestos!$B$28</f>
        <v>19052785.771303732</v>
      </c>
      <c r="H19" s="47">
        <f>+G19*12</f>
        <v>228633429.2556448</v>
      </c>
    </row>
    <row r="20" spans="1:8" x14ac:dyDescent="0.25">
      <c r="A20" t="s">
        <v>738</v>
      </c>
      <c r="B20" s="50" t="s">
        <v>738</v>
      </c>
      <c r="C20" s="47">
        <f>C10*Supuestos!$B$26</f>
        <v>4200000</v>
      </c>
      <c r="D20" s="47">
        <f t="shared" ref="D20:F27" si="2">+C20*12</f>
        <v>50400000</v>
      </c>
      <c r="E20" s="47">
        <f>E10*Supuestos!$B$26</f>
        <v>5880000</v>
      </c>
      <c r="F20" s="47">
        <f t="shared" si="2"/>
        <v>70560000</v>
      </c>
      <c r="G20" s="47">
        <f>G10*Supuestos!$B$26</f>
        <v>6300000</v>
      </c>
      <c r="H20" s="47">
        <f t="shared" ref="H20" si="3">+G20*12</f>
        <v>75600000</v>
      </c>
    </row>
    <row r="21" spans="1:8" s="80" customFormat="1" x14ac:dyDescent="0.25">
      <c r="A21" s="80" t="s">
        <v>739</v>
      </c>
      <c r="B21" s="81" t="s">
        <v>739</v>
      </c>
      <c r="C21" s="82">
        <v>1800000</v>
      </c>
      <c r="D21" s="82">
        <f t="shared" si="2"/>
        <v>21600000</v>
      </c>
      <c r="E21" s="82">
        <f>E14*Supuestos!$C$38</f>
        <v>546473.18252798077</v>
      </c>
      <c r="F21" s="82">
        <f t="shared" si="2"/>
        <v>6557678.1903357692</v>
      </c>
      <c r="G21" s="82">
        <f>G14*Supuestos!$C$38</f>
        <v>660786.45030169096</v>
      </c>
      <c r="H21" s="82">
        <f t="shared" ref="H21" si="4">+G21*12</f>
        <v>7929437.4036202915</v>
      </c>
    </row>
    <row r="22" spans="1:8" x14ac:dyDescent="0.25">
      <c r="A22" t="s">
        <v>740</v>
      </c>
      <c r="B22" s="50" t="s">
        <v>740</v>
      </c>
      <c r="C22" s="47">
        <v>5200000</v>
      </c>
      <c r="D22" s="47">
        <f t="shared" si="2"/>
        <v>62400000</v>
      </c>
      <c r="E22" s="47">
        <f>+(C22*15%)+C22</f>
        <v>5980000</v>
      </c>
      <c r="F22" s="47">
        <f t="shared" si="2"/>
        <v>71760000</v>
      </c>
      <c r="G22" s="47">
        <f>+(E22*5%)+E22</f>
        <v>6279000</v>
      </c>
      <c r="H22" s="47">
        <f t="shared" ref="H22" si="5">+G22*12</f>
        <v>75348000</v>
      </c>
    </row>
    <row r="23" spans="1:8" x14ac:dyDescent="0.25">
      <c r="A23" t="s">
        <v>741</v>
      </c>
      <c r="B23" s="50" t="s">
        <v>741</v>
      </c>
      <c r="C23" s="47">
        <v>8500000</v>
      </c>
      <c r="D23" s="47">
        <f t="shared" si="2"/>
        <v>102000000</v>
      </c>
      <c r="E23" s="47">
        <f>+(C23*5%)+C23</f>
        <v>8925000</v>
      </c>
      <c r="F23" s="47">
        <f t="shared" si="2"/>
        <v>107100000</v>
      </c>
      <c r="G23" s="47">
        <f>+(E23*5%)+E23</f>
        <v>9371250</v>
      </c>
      <c r="H23" s="47">
        <f t="shared" ref="H23" si="6">+G23*12</f>
        <v>112455000</v>
      </c>
    </row>
    <row r="24" spans="1:8" x14ac:dyDescent="0.25">
      <c r="A24" t="s">
        <v>742</v>
      </c>
      <c r="B24" s="50" t="s">
        <v>742</v>
      </c>
      <c r="C24" s="47">
        <f>Supuestos!$B$16</f>
        <v>46000000</v>
      </c>
      <c r="D24" s="47">
        <f t="shared" si="2"/>
        <v>552000000</v>
      </c>
      <c r="E24" s="47">
        <f>Supuestos!$B$16</f>
        <v>46000000</v>
      </c>
      <c r="F24" s="47">
        <f t="shared" si="2"/>
        <v>552000000</v>
      </c>
      <c r="G24" s="47">
        <f>Supuestos!$B$16</f>
        <v>46000000</v>
      </c>
      <c r="H24" s="47">
        <f t="shared" ref="H24" si="7">+G24*12</f>
        <v>552000000</v>
      </c>
    </row>
    <row r="25" spans="1:8" x14ac:dyDescent="0.25">
      <c r="A25" t="s">
        <v>743</v>
      </c>
      <c r="B25" s="50" t="s">
        <v>743</v>
      </c>
      <c r="C25" s="47">
        <f>Supuestos!$B$19</f>
        <v>1400000</v>
      </c>
      <c r="D25" s="47">
        <f t="shared" si="2"/>
        <v>16800000</v>
      </c>
      <c r="E25" s="47">
        <f>+(C25*5%)+C25</f>
        <v>1470000</v>
      </c>
      <c r="F25" s="47">
        <f t="shared" si="2"/>
        <v>17640000</v>
      </c>
      <c r="G25" s="47">
        <f>+(E25*5%)+E25</f>
        <v>1543500</v>
      </c>
      <c r="H25" s="47">
        <f t="shared" ref="H25" si="8">+G25*12</f>
        <v>18522000</v>
      </c>
    </row>
    <row r="26" spans="1:8" x14ac:dyDescent="0.25">
      <c r="A26" t="s">
        <v>744</v>
      </c>
      <c r="B26" s="50" t="s">
        <v>744</v>
      </c>
      <c r="C26" s="47">
        <v>150000</v>
      </c>
      <c r="D26" s="47">
        <f t="shared" si="2"/>
        <v>1800000</v>
      </c>
      <c r="E26" s="47">
        <f>+(C26*5%)+C26</f>
        <v>157500</v>
      </c>
      <c r="F26" s="47">
        <f t="shared" si="2"/>
        <v>1890000</v>
      </c>
      <c r="G26" s="47">
        <f>+(E26*5%)+E26</f>
        <v>165375</v>
      </c>
      <c r="H26" s="47">
        <f t="shared" ref="H26" si="9">+G26*12</f>
        <v>1984500</v>
      </c>
    </row>
    <row r="27" spans="1:8" x14ac:dyDescent="0.25">
      <c r="A27" t="s">
        <v>745</v>
      </c>
      <c r="B27" s="50" t="s">
        <v>745</v>
      </c>
      <c r="C27" s="47">
        <v>500000</v>
      </c>
      <c r="D27" s="47">
        <f t="shared" si="2"/>
        <v>6000000</v>
      </c>
      <c r="E27" s="47">
        <v>500000</v>
      </c>
      <c r="F27" s="47">
        <f t="shared" si="2"/>
        <v>6000000</v>
      </c>
      <c r="G27" s="47">
        <v>500000</v>
      </c>
      <c r="H27" s="47">
        <f t="shared" ref="H27" si="10">+G27*12</f>
        <v>6000000</v>
      </c>
    </row>
    <row r="28" spans="1:8" ht="18.75" x14ac:dyDescent="0.3">
      <c r="A28" s="24" t="s">
        <v>699</v>
      </c>
      <c r="B28" s="56" t="s">
        <v>699</v>
      </c>
      <c r="C28" s="57">
        <f>SUM(C19:C27)</f>
        <v>75789150.114474148</v>
      </c>
      <c r="D28" s="57">
        <f>+C28*12</f>
        <v>909469801.37368977</v>
      </c>
      <c r="E28" s="57">
        <f>SUM(E19:E27)</f>
        <v>85215707.406897306</v>
      </c>
      <c r="F28" s="57">
        <f>+E28*12</f>
        <v>1022588488.8827677</v>
      </c>
      <c r="G28" s="57">
        <f>SUM(G19:G27)</f>
        <v>89872697.22160542</v>
      </c>
      <c r="H28" s="57">
        <f>+G28*12</f>
        <v>1078472366.659265</v>
      </c>
    </row>
    <row r="29" spans="1:8" x14ac:dyDescent="0.25">
      <c r="B29" s="50"/>
      <c r="C29" s="45"/>
      <c r="D29" s="45"/>
      <c r="E29" s="45"/>
      <c r="F29" s="45"/>
      <c r="G29" s="45"/>
      <c r="H29" s="45"/>
    </row>
    <row r="30" spans="1:8" ht="23.25" customHeight="1" x14ac:dyDescent="0.3">
      <c r="A30" s="24" t="s">
        <v>700</v>
      </c>
      <c r="B30" s="56" t="s">
        <v>700</v>
      </c>
      <c r="C30" s="57">
        <f>C12-C28</f>
        <v>-8289150.1144741476</v>
      </c>
      <c r="D30" s="57">
        <f>D12-D28</f>
        <v>-99469801.373689771</v>
      </c>
      <c r="E30" s="57">
        <f>E12-E28</f>
        <v>39884292.593102694</v>
      </c>
      <c r="F30" s="57">
        <f>F12-F28</f>
        <v>478611511.11723232</v>
      </c>
      <c r="G30" s="57">
        <f>G12-G28</f>
        <v>59827302.77839458</v>
      </c>
      <c r="H30" s="57">
        <f>H12-H28</f>
        <v>717927633.34073496</v>
      </c>
    </row>
    <row r="31" spans="1:8" x14ac:dyDescent="0.25">
      <c r="B31" s="50"/>
      <c r="C31" s="45"/>
      <c r="D31" s="45"/>
      <c r="E31" s="45"/>
      <c r="F31" s="45"/>
      <c r="G31" s="45"/>
      <c r="H31" s="45"/>
    </row>
    <row r="32" spans="1:8" s="61" customFormat="1" ht="21.75" customHeight="1" x14ac:dyDescent="0.3">
      <c r="A32" s="59" t="s">
        <v>701</v>
      </c>
      <c r="B32" s="56" t="s">
        <v>701</v>
      </c>
      <c r="C32" s="63"/>
      <c r="D32" s="63"/>
      <c r="E32" s="63"/>
      <c r="F32" s="63"/>
      <c r="G32" s="63"/>
      <c r="H32" s="63"/>
    </row>
    <row r="33" spans="1:8" x14ac:dyDescent="0.25">
      <c r="A33" t="s">
        <v>746</v>
      </c>
      <c r="B33" s="50" t="s">
        <v>767</v>
      </c>
      <c r="C33" s="47">
        <v>12000000</v>
      </c>
      <c r="D33" s="47">
        <f>+C33*12</f>
        <v>144000000</v>
      </c>
      <c r="E33" s="47">
        <f>+C33</f>
        <v>12000000</v>
      </c>
      <c r="F33" s="47">
        <f>+E33*12</f>
        <v>144000000</v>
      </c>
      <c r="G33" s="47">
        <v>12000000</v>
      </c>
      <c r="H33" s="47">
        <f>+G33*12</f>
        <v>144000000</v>
      </c>
    </row>
    <row r="34" spans="1:8" x14ac:dyDescent="0.25">
      <c r="B34" s="50" t="s">
        <v>773</v>
      </c>
      <c r="C34" s="47">
        <v>3000000</v>
      </c>
      <c r="D34" s="47">
        <f>+C34*12</f>
        <v>36000000</v>
      </c>
      <c r="E34" s="47">
        <v>3000000</v>
      </c>
      <c r="F34" s="47">
        <f>+E34*12</f>
        <v>36000000</v>
      </c>
      <c r="G34" s="47">
        <v>3000000</v>
      </c>
      <c r="H34" s="47">
        <f>+G34*12</f>
        <v>36000000</v>
      </c>
    </row>
    <row r="35" spans="1:8" x14ac:dyDescent="0.25">
      <c r="A35" t="s">
        <v>747</v>
      </c>
      <c r="B35" s="50" t="s">
        <v>747</v>
      </c>
      <c r="C35" s="47">
        <f>C14*Supuestos!$C$40</f>
        <v>553317.95136415085</v>
      </c>
      <c r="D35" s="47">
        <f t="shared" ref="D35:F42" si="11">+C35*12</f>
        <v>6639815.4163698107</v>
      </c>
      <c r="E35" s="47">
        <f>E14*Supuestos!$C$40</f>
        <v>1084503.1846737356</v>
      </c>
      <c r="F35" s="47">
        <f t="shared" si="11"/>
        <v>13014038.216084827</v>
      </c>
      <c r="G35" s="47">
        <f>G14*Supuestos!$C$40</f>
        <v>1311363.5447330375</v>
      </c>
      <c r="H35" s="47">
        <f t="shared" ref="H35" si="12">+G35*12</f>
        <v>15736362.536796451</v>
      </c>
    </row>
    <row r="36" spans="1:8" x14ac:dyDescent="0.25">
      <c r="A36" t="s">
        <v>748</v>
      </c>
      <c r="B36" s="50" t="s">
        <v>748</v>
      </c>
      <c r="C36" s="47">
        <f>C14*Supuestos!$C$41</f>
        <v>439866.23260903504</v>
      </c>
      <c r="D36" s="47">
        <f t="shared" si="11"/>
        <v>5278394.7913084207</v>
      </c>
      <c r="E36" s="47">
        <f>E14*Supuestos!$C$41</f>
        <v>862137.81591370876</v>
      </c>
      <c r="F36" s="47">
        <f t="shared" si="11"/>
        <v>10345653.790964505</v>
      </c>
      <c r="G36" s="47">
        <f>G14*Supuestos!$C$41</f>
        <v>1042482.9712834131</v>
      </c>
      <c r="H36" s="47">
        <f t="shared" ref="H36" si="13">+G36*12</f>
        <v>12509795.655400958</v>
      </c>
    </row>
    <row r="37" spans="1:8" x14ac:dyDescent="0.25">
      <c r="A37" t="s">
        <v>749</v>
      </c>
      <c r="B37" s="50" t="s">
        <v>749</v>
      </c>
      <c r="C37" s="47">
        <f>C14*Supuestos!$C$42</f>
        <v>154559.29630061568</v>
      </c>
      <c r="D37" s="47">
        <f t="shared" si="11"/>
        <v>1854711.5556073883</v>
      </c>
      <c r="E37" s="47">
        <f>E14*Supuestos!$C$42</f>
        <v>302936.22074920672</v>
      </c>
      <c r="F37" s="47">
        <f t="shared" si="11"/>
        <v>3635234.6489904807</v>
      </c>
      <c r="G37" s="47">
        <f>G14*Supuestos!$C$42</f>
        <v>366305.53223245917</v>
      </c>
      <c r="H37" s="47">
        <f t="shared" ref="H37" si="14">+G37*12</f>
        <v>4395666.38678951</v>
      </c>
    </row>
    <row r="38" spans="1:8" x14ac:dyDescent="0.25">
      <c r="A38" t="s">
        <v>750</v>
      </c>
      <c r="B38" s="50" t="s">
        <v>750</v>
      </c>
      <c r="C38" s="47">
        <v>1200000</v>
      </c>
      <c r="D38" s="47">
        <f t="shared" si="11"/>
        <v>14400000</v>
      </c>
      <c r="E38" s="47">
        <f>+C38+(C38*5%)</f>
        <v>1260000</v>
      </c>
      <c r="F38" s="47">
        <f t="shared" si="11"/>
        <v>15120000</v>
      </c>
      <c r="G38" s="47">
        <f>+E38+(E38*5%)</f>
        <v>1323000</v>
      </c>
      <c r="H38" s="47">
        <f t="shared" ref="H38" si="15">+G38*12</f>
        <v>15876000</v>
      </c>
    </row>
    <row r="39" spans="1:8" x14ac:dyDescent="0.25">
      <c r="A39" t="s">
        <v>751</v>
      </c>
      <c r="B39" s="50" t="s">
        <v>751</v>
      </c>
      <c r="C39" s="47">
        <f>C14*Supuestos!$C$44</f>
        <v>161702.79318845924</v>
      </c>
      <c r="D39" s="47">
        <f t="shared" si="11"/>
        <v>1940433.5182615109</v>
      </c>
      <c r="E39" s="47">
        <f>E14*Supuestos!$C$44</f>
        <v>316937.47464938014</v>
      </c>
      <c r="F39" s="47">
        <f t="shared" si="11"/>
        <v>3803249.6957925614</v>
      </c>
      <c r="G39" s="47">
        <f>G14*Supuestos!$C$44</f>
        <v>383235.61985664844</v>
      </c>
      <c r="H39" s="47">
        <f t="shared" ref="H39" si="16">+G39*12</f>
        <v>4598827.4382797815</v>
      </c>
    </row>
    <row r="40" spans="1:8" x14ac:dyDescent="0.25">
      <c r="A40" t="s">
        <v>752</v>
      </c>
      <c r="B40" s="50" t="s">
        <v>752</v>
      </c>
      <c r="C40" s="47">
        <v>1040000</v>
      </c>
      <c r="D40" s="47">
        <f t="shared" si="11"/>
        <v>12480000</v>
      </c>
      <c r="E40" s="47">
        <f>+(C40*5%)+C40</f>
        <v>1092000</v>
      </c>
      <c r="F40" s="47">
        <f t="shared" si="11"/>
        <v>13104000</v>
      </c>
      <c r="G40" s="47">
        <f>+(E40*5%)+E40</f>
        <v>1146600</v>
      </c>
      <c r="H40" s="47">
        <f t="shared" ref="H40" si="17">+G40*12</f>
        <v>13759200</v>
      </c>
    </row>
    <row r="41" spans="1:8" x14ac:dyDescent="0.25">
      <c r="A41" t="s">
        <v>753</v>
      </c>
      <c r="B41" s="50" t="s">
        <v>753</v>
      </c>
      <c r="C41" s="47">
        <v>800000</v>
      </c>
      <c r="D41" s="47">
        <f t="shared" si="11"/>
        <v>9600000</v>
      </c>
      <c r="E41" s="47">
        <f>+(C41*5%)+C41</f>
        <v>840000</v>
      </c>
      <c r="F41" s="47">
        <f t="shared" si="11"/>
        <v>10080000</v>
      </c>
      <c r="G41" s="47">
        <f>+(E41*5%)+E41</f>
        <v>882000</v>
      </c>
      <c r="H41" s="47">
        <f t="shared" ref="H41" si="18">+G41*12</f>
        <v>10584000</v>
      </c>
    </row>
    <row r="42" spans="1:8" x14ac:dyDescent="0.25">
      <c r="A42" t="s">
        <v>754</v>
      </c>
      <c r="B42" s="50" t="s">
        <v>772</v>
      </c>
      <c r="C42" s="47">
        <v>1050000</v>
      </c>
      <c r="D42" s="47">
        <f t="shared" si="11"/>
        <v>12600000</v>
      </c>
      <c r="E42" s="47">
        <f>+(C42*5%)+C42</f>
        <v>1102500</v>
      </c>
      <c r="F42" s="47">
        <f t="shared" si="11"/>
        <v>13230000</v>
      </c>
      <c r="G42" s="47">
        <f>+(E42*5%)+E42</f>
        <v>1157625</v>
      </c>
      <c r="H42" s="47">
        <f t="shared" ref="H42" si="19">+G42*12</f>
        <v>13891500</v>
      </c>
    </row>
    <row r="43" spans="1:8" ht="26.25" customHeight="1" x14ac:dyDescent="0.3">
      <c r="A43" s="24" t="s">
        <v>703</v>
      </c>
      <c r="B43" s="56" t="s">
        <v>703</v>
      </c>
      <c r="C43" s="57">
        <f>SUM(C33:C42)</f>
        <v>20399446.273462262</v>
      </c>
      <c r="D43" s="57">
        <f>SUM(D33:D42)</f>
        <v>244793355.28154713</v>
      </c>
      <c r="E43" s="57">
        <f t="shared" ref="E43:G43" si="20">SUM(E33:E42)</f>
        <v>21861014.695986032</v>
      </c>
      <c r="F43" s="57">
        <f>SUM(F33:F42)</f>
        <v>262332176.35183239</v>
      </c>
      <c r="G43" s="57">
        <f t="shared" si="20"/>
        <v>22612612.668105558</v>
      </c>
      <c r="H43" s="57">
        <f>SUM(H33:H42)</f>
        <v>271351352.01726669</v>
      </c>
    </row>
    <row r="44" spans="1:8" x14ac:dyDescent="0.25">
      <c r="B44" s="50"/>
      <c r="C44" s="45"/>
      <c r="D44" s="45"/>
      <c r="E44" s="45"/>
      <c r="F44" s="45"/>
      <c r="G44" s="45"/>
      <c r="H44" s="45"/>
    </row>
    <row r="45" spans="1:8" ht="23.25" customHeight="1" x14ac:dyDescent="0.3">
      <c r="A45" s="24" t="s">
        <v>704</v>
      </c>
      <c r="B45" s="56" t="s">
        <v>704</v>
      </c>
      <c r="C45" s="57">
        <f>C30-C43</f>
        <v>-28688596.38793641</v>
      </c>
      <c r="D45" s="57">
        <f>D30-D43</f>
        <v>-344263156.6552369</v>
      </c>
      <c r="E45" s="57">
        <f t="shared" ref="E45:G45" si="21">E30-E43</f>
        <v>18023277.897116661</v>
      </c>
      <c r="F45" s="57">
        <f>F30-F43</f>
        <v>216279334.76539993</v>
      </c>
      <c r="G45" s="57">
        <f t="shared" si="21"/>
        <v>37214690.110289022</v>
      </c>
      <c r="H45" s="57">
        <f>H30-H43</f>
        <v>446576281.32346827</v>
      </c>
    </row>
    <row r="46" spans="1:8" x14ac:dyDescent="0.25">
      <c r="A46" t="s">
        <v>705</v>
      </c>
      <c r="B46" s="50" t="s">
        <v>705</v>
      </c>
      <c r="C46" s="48">
        <f>C45/C14</f>
        <v>-0.47814327313227351</v>
      </c>
      <c r="D46" s="48">
        <f>D45/D14</f>
        <v>-0.47814327313227345</v>
      </c>
      <c r="E46" s="48">
        <f>E45/E14</f>
        <v>0.15325916579180834</v>
      </c>
      <c r="F46" s="48">
        <f>F45/F14</f>
        <v>0.15325916579180834</v>
      </c>
      <c r="G46" s="48">
        <f>G45/G14</f>
        <v>0.26170668150695514</v>
      </c>
      <c r="H46" s="48">
        <f>H45/H14</f>
        <v>0.26170668150695514</v>
      </c>
    </row>
    <row r="47" spans="1:8" x14ac:dyDescent="0.25">
      <c r="B47" s="50"/>
      <c r="C47" s="45"/>
      <c r="D47" s="45"/>
      <c r="E47" s="45"/>
      <c r="F47" s="45"/>
      <c r="G47" s="45"/>
      <c r="H47" s="45"/>
    </row>
    <row r="48" spans="1:8" s="54" customFormat="1" ht="18.75" x14ac:dyDescent="0.3">
      <c r="A48" s="53" t="s">
        <v>706</v>
      </c>
      <c r="B48" s="56" t="s">
        <v>706</v>
      </c>
      <c r="C48" s="64"/>
      <c r="D48" s="64"/>
      <c r="E48" s="64"/>
      <c r="F48" s="64"/>
      <c r="G48" s="64"/>
      <c r="H48" s="64"/>
    </row>
    <row r="49" spans="1:8" x14ac:dyDescent="0.25">
      <c r="A49" t="s">
        <v>755</v>
      </c>
      <c r="B49" s="50" t="s">
        <v>755</v>
      </c>
      <c r="C49" s="47">
        <f>+C12*2.2%</f>
        <v>1485000.0000000002</v>
      </c>
      <c r="D49" s="47">
        <f>+C49*12</f>
        <v>17820000.000000004</v>
      </c>
      <c r="E49" s="47">
        <f>+E12*2.2%</f>
        <v>2752200.0000000005</v>
      </c>
      <c r="F49" s="47">
        <f>+E49*12</f>
        <v>33026400.000000007</v>
      </c>
      <c r="G49" s="47">
        <f>+G12*2.2%</f>
        <v>3293400.0000000005</v>
      </c>
      <c r="H49" s="47">
        <f>+G49*12</f>
        <v>39520800.000000007</v>
      </c>
    </row>
    <row r="50" spans="1:8" x14ac:dyDescent="0.25">
      <c r="B50" s="50"/>
      <c r="C50" s="45"/>
      <c r="D50" s="45"/>
      <c r="E50" s="45"/>
      <c r="F50" s="45"/>
      <c r="G50" s="45"/>
      <c r="H50" s="45"/>
    </row>
    <row r="51" spans="1:8" s="66" customFormat="1" ht="18.75" x14ac:dyDescent="0.3">
      <c r="A51" s="65" t="s">
        <v>707</v>
      </c>
      <c r="B51" s="56" t="s">
        <v>707</v>
      </c>
      <c r="C51" s="64"/>
      <c r="D51" s="64"/>
      <c r="E51" s="64"/>
      <c r="F51" s="64"/>
      <c r="G51" s="64"/>
      <c r="H51" s="64"/>
    </row>
    <row r="52" spans="1:8" x14ac:dyDescent="0.25">
      <c r="A52" t="s">
        <v>756</v>
      </c>
      <c r="B52" s="50" t="s">
        <v>756</v>
      </c>
      <c r="C52" s="47">
        <f>Supuestos!$B$31</f>
        <v>3000000</v>
      </c>
      <c r="D52" s="47">
        <f>+C52*12</f>
        <v>36000000</v>
      </c>
      <c r="E52" s="47">
        <f>Supuestos!$B$31</f>
        <v>3000000</v>
      </c>
      <c r="F52" s="47">
        <f>+E52*12</f>
        <v>36000000</v>
      </c>
      <c r="G52" s="47">
        <f>Supuestos!$B$31</f>
        <v>3000000</v>
      </c>
      <c r="H52" s="47">
        <f>+G52*12</f>
        <v>36000000</v>
      </c>
    </row>
    <row r="53" spans="1:8" x14ac:dyDescent="0.25">
      <c r="A53" t="s">
        <v>757</v>
      </c>
      <c r="B53" s="50" t="s">
        <v>757</v>
      </c>
      <c r="C53" s="47">
        <f>+C12*3%</f>
        <v>2025000</v>
      </c>
      <c r="D53" s="47">
        <f t="shared" ref="D53:F53" si="22">+C53*12</f>
        <v>24300000</v>
      </c>
      <c r="E53" s="47">
        <f>+E12*4%</f>
        <v>5004000</v>
      </c>
      <c r="F53" s="47">
        <f t="shared" si="22"/>
        <v>60048000</v>
      </c>
      <c r="G53" s="47">
        <f>+G12*5%</f>
        <v>7485000</v>
      </c>
      <c r="H53" s="47">
        <f t="shared" ref="H53" si="23">+G53*12</f>
        <v>89820000</v>
      </c>
    </row>
    <row r="54" spans="1:8" x14ac:dyDescent="0.25">
      <c r="A54" s="24" t="s">
        <v>708</v>
      </c>
      <c r="B54" s="51" t="s">
        <v>708</v>
      </c>
      <c r="C54" s="46">
        <f>SUM(C52:C53)</f>
        <v>5025000</v>
      </c>
      <c r="D54" s="46">
        <f>SUM(D52:D53)</f>
        <v>60300000</v>
      </c>
      <c r="E54" s="46">
        <f t="shared" ref="E54:G54" si="24">SUM(E52:E53)</f>
        <v>8004000</v>
      </c>
      <c r="F54" s="46">
        <f>SUM(F52:F53)</f>
        <v>96048000</v>
      </c>
      <c r="G54" s="46">
        <f t="shared" si="24"/>
        <v>10485000</v>
      </c>
      <c r="H54" s="46">
        <f>SUM(H52:H53)</f>
        <v>125820000</v>
      </c>
    </row>
    <row r="55" spans="1:8" x14ac:dyDescent="0.25">
      <c r="A55" s="24"/>
      <c r="B55" s="50" t="s">
        <v>769</v>
      </c>
      <c r="C55" s="46"/>
      <c r="D55" s="46"/>
      <c r="E55" s="46"/>
      <c r="F55" s="46"/>
      <c r="G55" s="46"/>
      <c r="H55" s="46"/>
    </row>
    <row r="56" spans="1:8" x14ac:dyDescent="0.25">
      <c r="A56" s="24"/>
      <c r="B56" s="50" t="s">
        <v>770</v>
      </c>
      <c r="C56" s="46"/>
      <c r="D56" s="46"/>
      <c r="E56" s="46"/>
      <c r="F56" s="46"/>
      <c r="G56" s="46"/>
      <c r="H56" s="46"/>
    </row>
    <row r="57" spans="1:8" ht="15.75" thickBot="1" x14ac:dyDescent="0.3">
      <c r="B57" s="50" t="s">
        <v>771</v>
      </c>
      <c r="C57" s="45"/>
      <c r="D57" s="45"/>
      <c r="E57" s="45"/>
      <c r="F57" s="45"/>
      <c r="G57" s="45"/>
      <c r="H57" s="45"/>
    </row>
    <row r="58" spans="1:8" ht="26.25" customHeight="1" thickBot="1" x14ac:dyDescent="0.35">
      <c r="A58" s="42" t="s">
        <v>709</v>
      </c>
      <c r="B58" s="68" t="s">
        <v>709</v>
      </c>
      <c r="C58" s="69">
        <f>C45-C49-C54</f>
        <v>-35198596.387936413</v>
      </c>
      <c r="D58" s="69">
        <f>D45-D49-D54</f>
        <v>-422383156.6552369</v>
      </c>
      <c r="E58" s="69">
        <f t="shared" ref="E58:G58" si="25">E45-E49-E54</f>
        <v>7267077.8971166611</v>
      </c>
      <c r="F58" s="69">
        <f>F45-F49-F54</f>
        <v>87204934.765399933</v>
      </c>
      <c r="G58" s="69">
        <f t="shared" si="25"/>
        <v>23436290.110289022</v>
      </c>
      <c r="H58" s="69">
        <f>H45-H49-H54</f>
        <v>281235481.32346827</v>
      </c>
    </row>
    <row r="59" spans="1:8" ht="15.75" thickBot="1" x14ac:dyDescent="0.3">
      <c r="A59" t="s">
        <v>710</v>
      </c>
      <c r="B59" s="52" t="s">
        <v>710</v>
      </c>
      <c r="C59" s="49">
        <f>C58/C14</f>
        <v>-0.5866432731322736</v>
      </c>
      <c r="D59" s="49">
        <f>D58/D14</f>
        <v>-0.58664327313227349</v>
      </c>
      <c r="E59" s="49">
        <f>E58/E14</f>
        <v>6.1794880077522631E-2</v>
      </c>
      <c r="F59" s="49">
        <f>F58/F14</f>
        <v>6.1794880077522631E-2</v>
      </c>
      <c r="G59" s="49">
        <f>G58/G14</f>
        <v>0.16481216673902266</v>
      </c>
      <c r="H59" s="49">
        <f>H58/H14</f>
        <v>0.16481216673902266</v>
      </c>
    </row>
    <row r="62" spans="1:8" x14ac:dyDescent="0.25">
      <c r="A62" s="67" t="s">
        <v>761</v>
      </c>
    </row>
  </sheetData>
  <mergeCells count="6">
    <mergeCell ref="C6:D6"/>
    <mergeCell ref="B6:B7"/>
    <mergeCell ref="E6:F6"/>
    <mergeCell ref="G6:H6"/>
    <mergeCell ref="G5:H5"/>
    <mergeCell ref="B5:F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 general </vt:lpstr>
      <vt:lpstr>patio 1</vt:lpstr>
      <vt:lpstr>patio 2</vt:lpstr>
      <vt:lpstr>Tipos de Hab</vt:lpstr>
      <vt:lpstr>estados</vt:lpstr>
      <vt:lpstr>Supuestos</vt:lpstr>
      <vt:lpstr>PyG Hospedaje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GehSuites</dc:creator>
  <cp:lastModifiedBy>GehSuites</cp:lastModifiedBy>
  <dcterms:created xsi:type="dcterms:W3CDTF">2026-07-08T18:52:04Z</dcterms:created>
  <dcterms:modified xsi:type="dcterms:W3CDTF">2026-07-14T18:21:21Z</dcterms:modified>
</cp:coreProperties>
</file>